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inForm\Pt_Optimize\"/>
    </mc:Choice>
  </mc:AlternateContent>
  <xr:revisionPtr revIDLastSave="0" documentId="8_{7745D607-BFB5-40D1-81E0-C142677435D5}" xr6:coauthVersionLast="47" xr6:coauthVersionMax="47" xr10:uidLastSave="{00000000-0000-0000-0000-000000000000}"/>
  <bookViews>
    <workbookView xWindow="7430" yWindow="2780" windowWidth="28800" windowHeight="15370" xr2:uid="{03FDBB95-A8B4-4B51-82F5-A6044752EB24}"/>
  </bookViews>
  <sheets>
    <sheet name="鉑金热膨胀计算" sheetId="2" r:id="rId1"/>
    <sheet name="Sheet1" sheetId="1" r:id="rId2"/>
  </sheets>
  <externalReferences>
    <externalReference r:id="rId3"/>
  </externalReferences>
  <definedNames>
    <definedName name="solver_adj" localSheetId="0" hidden="1">鉑金热膨胀计算!$V$15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鉑金热膨胀计算!$Y$15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250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9" i="2" l="1"/>
  <c r="N19" i="2"/>
  <c r="L19" i="2"/>
  <c r="J19" i="2"/>
  <c r="H19" i="2"/>
  <c r="F19" i="2"/>
  <c r="D19" i="2"/>
  <c r="P18" i="2"/>
  <c r="N18" i="2"/>
  <c r="L18" i="2"/>
  <c r="J18" i="2"/>
  <c r="H18" i="2"/>
  <c r="F18" i="2"/>
  <c r="D18" i="2"/>
  <c r="P17" i="2"/>
  <c r="N17" i="2"/>
  <c r="L17" i="2"/>
  <c r="J17" i="2"/>
  <c r="H17" i="2"/>
  <c r="F17" i="2"/>
  <c r="D17" i="2"/>
  <c r="X16" i="2"/>
  <c r="Y16" i="2" s="1"/>
  <c r="Z16" i="2" s="1"/>
  <c r="W16" i="2"/>
  <c r="P16" i="2"/>
  <c r="N16" i="2"/>
  <c r="L16" i="2"/>
  <c r="J16" i="2"/>
  <c r="H16" i="2"/>
  <c r="F16" i="2"/>
  <c r="D16" i="2"/>
  <c r="X15" i="2"/>
  <c r="Y15" i="2" s="1"/>
  <c r="Z15" i="2" s="1"/>
  <c r="P15" i="2"/>
  <c r="N15" i="2"/>
  <c r="L15" i="2"/>
  <c r="J15" i="2"/>
  <c r="H15" i="2"/>
  <c r="F15" i="2"/>
  <c r="D15" i="2"/>
  <c r="Y14" i="2"/>
  <c r="Z14" i="2" s="1"/>
  <c r="X14" i="2"/>
  <c r="P14" i="2"/>
  <c r="N14" i="2"/>
  <c r="L14" i="2"/>
  <c r="J14" i="2"/>
  <c r="H14" i="2"/>
  <c r="F14" i="2"/>
  <c r="D14" i="2"/>
  <c r="P13" i="2"/>
  <c r="N13" i="2"/>
  <c r="L13" i="2"/>
  <c r="J13" i="2"/>
  <c r="H13" i="2"/>
  <c r="F13" i="2"/>
  <c r="D13" i="2"/>
  <c r="P12" i="2"/>
  <c r="N12" i="2"/>
  <c r="L12" i="2"/>
  <c r="J12" i="2"/>
  <c r="H12" i="2"/>
  <c r="F12" i="2"/>
  <c r="D12" i="2"/>
  <c r="P11" i="2"/>
  <c r="N11" i="2"/>
  <c r="L11" i="2"/>
  <c r="J11" i="2"/>
  <c r="H11" i="2"/>
  <c r="F11" i="2"/>
  <c r="D11" i="2"/>
  <c r="P10" i="2"/>
  <c r="N10" i="2"/>
  <c r="L10" i="2"/>
  <c r="J10" i="2"/>
  <c r="H10" i="2"/>
  <c r="F10" i="2"/>
  <c r="D10" i="2"/>
  <c r="P9" i="2"/>
  <c r="N9" i="2"/>
  <c r="L9" i="2"/>
  <c r="J9" i="2"/>
  <c r="H9" i="2"/>
  <c r="F9" i="2"/>
  <c r="D9" i="2"/>
  <c r="P8" i="2"/>
  <c r="N8" i="2"/>
  <c r="L8" i="2"/>
  <c r="J8" i="2"/>
  <c r="H8" i="2"/>
  <c r="F8" i="2"/>
  <c r="D8" i="2"/>
  <c r="P7" i="2"/>
  <c r="N7" i="2"/>
  <c r="L7" i="2"/>
  <c r="J7" i="2"/>
  <c r="H7" i="2"/>
  <c r="F7" i="2"/>
  <c r="D7" i="2"/>
  <c r="P6" i="2"/>
  <c r="N6" i="2"/>
  <c r="L6" i="2"/>
  <c r="J6" i="2"/>
  <c r="H6" i="2"/>
  <c r="F6" i="2"/>
  <c r="D6" i="2"/>
  <c r="P5" i="2"/>
  <c r="N5" i="2"/>
  <c r="L5" i="2"/>
  <c r="J5" i="2"/>
  <c r="H5" i="2"/>
  <c r="F5" i="2"/>
  <c r="D5" i="2"/>
  <c r="P4" i="2"/>
  <c r="N4" i="2"/>
  <c r="L4" i="2"/>
  <c r="J4" i="2"/>
  <c r="H4" i="2"/>
  <c r="F4" i="2"/>
  <c r="D4" i="2"/>
</calcChain>
</file>

<file path=xl/comments1.xml><?xml version="1.0" encoding="utf-8"?>
<comments xmlns="http://schemas.openxmlformats.org/spreadsheetml/2006/main">
  <authors>
    <author>Opus 5</author>
  </authors>
  <commentList>
    <comment ref="G18" authorId="0">
      <text>
        <r>
          <rPr>
            <sz val="9"/>
            <color indexed="81"/>
            <rFont val="Tahoma"/>
            <family val="2"/>
          </rPr>
          <t>2026-09-18 依 JM 1960 p.139 改正抄写错误 1.0157→1.0152（Opus 5）</t>
        </r>
      </text>
    </comment>
  </commentList>
</comments>
</file>

<file path=xl/sharedStrings.xml><?xml version="1.0" encoding="utf-8"?>
<sst xmlns="http://schemas.openxmlformats.org/spreadsheetml/2006/main" count="51" uniqueCount="44">
  <si>
    <r>
      <t>Pt</t>
    </r>
    <r>
      <rPr>
        <sz val="12"/>
        <color theme="1"/>
        <rFont val="微軟正黑體"/>
        <family val="2"/>
        <charset val="136"/>
      </rPr>
      <t>合金的熱膨脹性</t>
    </r>
    <r>
      <rPr>
        <sz val="12"/>
        <color theme="1"/>
        <rFont val="Arial"/>
        <family val="2"/>
      </rPr>
      <t>( 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)</t>
    </r>
    <r>
      <rPr>
        <sz val="11"/>
        <color theme="1"/>
        <rFont val="微軟正黑體"/>
        <family val="2"/>
        <charset val="136"/>
      </rPr>
      <t>，熱線性膨脹係數</t>
    </r>
    <r>
      <rPr>
        <sz val="11"/>
        <color theme="1"/>
        <rFont val="Arial"/>
        <family val="2"/>
      </rPr>
      <t>(</t>
    </r>
    <r>
      <rPr>
        <sz val="11"/>
        <color theme="1"/>
        <rFont val="微軟正黑體"/>
        <family val="2"/>
        <charset val="136"/>
      </rPr>
      <t>α</t>
    </r>
    <r>
      <rPr>
        <sz val="11"/>
        <color theme="1"/>
        <rFont val="Arial"/>
        <family val="2"/>
      </rPr>
      <t xml:space="preserve"> x 10</t>
    </r>
    <r>
      <rPr>
        <vertAlign val="superscript"/>
        <sz val="11"/>
        <color theme="1"/>
        <rFont val="Arial"/>
        <family val="2"/>
      </rPr>
      <t>-6</t>
    </r>
    <r>
      <rPr>
        <sz val="11"/>
        <color theme="1"/>
        <rFont val="Arial"/>
        <family val="2"/>
      </rPr>
      <t>)</t>
    </r>
    <phoneticPr fontId="11" type="noConversion"/>
  </si>
  <si>
    <r>
      <rPr>
        <sz val="10.5"/>
        <color theme="1"/>
        <rFont val="微軟正黑體"/>
        <family val="2"/>
        <charset val="136"/>
      </rPr>
      <t>线膨胀系数</t>
    </r>
  </si>
  <si>
    <r>
      <t>Temp(</t>
    </r>
    <r>
      <rPr>
        <sz val="12"/>
        <color theme="1"/>
        <rFont val="微軟正黑體"/>
        <family val="2"/>
        <charset val="136"/>
      </rPr>
      <t>℃）</t>
    </r>
  </si>
  <si>
    <r>
      <t>Pt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</si>
  <si>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
(α)</t>
    <phoneticPr fontId="11" type="noConversion"/>
  </si>
  <si>
    <r>
      <t>PtRh10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</si>
  <si>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PtRh10
(α)</t>
    <phoneticPr fontId="11" type="noConversion"/>
  </si>
  <si>
    <r>
      <t>PtRh20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</si>
  <si>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PtRh20
(α)</t>
    <phoneticPr fontId="11" type="noConversion"/>
  </si>
  <si>
    <r>
      <t>PtRh30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</si>
  <si>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PtRh30
(α)</t>
    <phoneticPr fontId="11" type="noConversion"/>
  </si>
  <si>
    <r>
      <t>PtRh95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</si>
  <si>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PtRh95
(α)</t>
    <phoneticPr fontId="11" type="noConversion"/>
  </si>
  <si>
    <r>
      <t>Rh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</si>
  <si>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Rh
(α)</t>
    <phoneticPr fontId="11" type="noConversion"/>
  </si>
  <si>
    <r>
      <t>PtAu5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</si>
  <si>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PtAu5
(α)</t>
    <phoneticPr fontId="11" type="noConversion"/>
  </si>
  <si>
    <t>ZGSPt</t>
    <phoneticPr fontId="11" type="noConversion"/>
  </si>
  <si>
    <t>ZGSPtRh10%</t>
    <phoneticPr fontId="11" type="noConversion"/>
  </si>
  <si>
    <r>
      <rPr>
        <sz val="10.5"/>
        <color theme="1"/>
        <rFont val="微軟正黑體"/>
        <family val="2"/>
        <charset val="136"/>
      </rPr>
      <t>材料</t>
    </r>
  </si>
  <si>
    <t>Pt</t>
  </si>
  <si>
    <t>PtRh10%</t>
    <phoneticPr fontId="11" type="noConversion"/>
  </si>
  <si>
    <t>ZGSPtAu5%</t>
  </si>
  <si>
    <r>
      <t>9.54×10</t>
    </r>
    <r>
      <rPr>
        <vertAlign val="superscript"/>
        <sz val="10.5"/>
        <color theme="1"/>
        <rFont val="Arial"/>
        <family val="2"/>
      </rPr>
      <t>-6</t>
    </r>
  </si>
  <si>
    <r>
      <t>9.5×10</t>
    </r>
    <r>
      <rPr>
        <vertAlign val="superscript"/>
        <sz val="10.5"/>
        <color theme="1"/>
        <rFont val="Arial"/>
        <family val="2"/>
      </rPr>
      <t>-6</t>
    </r>
    <phoneticPr fontId="11" type="noConversion"/>
  </si>
  <si>
    <r>
      <t>10.2×10</t>
    </r>
    <r>
      <rPr>
        <vertAlign val="superscript"/>
        <sz val="10.5"/>
        <color theme="1"/>
        <rFont val="Arial"/>
        <family val="2"/>
      </rPr>
      <t>-6</t>
    </r>
  </si>
  <si>
    <r>
      <t>10.0×10</t>
    </r>
    <r>
      <rPr>
        <vertAlign val="superscript"/>
        <sz val="10.5"/>
        <color theme="1"/>
        <rFont val="Arial"/>
        <family val="2"/>
      </rPr>
      <t>-6</t>
    </r>
  </si>
  <si>
    <r>
      <t>10.19×10</t>
    </r>
    <r>
      <rPr>
        <vertAlign val="superscript"/>
        <sz val="10.5"/>
        <color theme="1"/>
        <rFont val="Arial"/>
        <family val="2"/>
      </rPr>
      <t>-6</t>
    </r>
  </si>
  <si>
    <r>
      <t>10.6×10</t>
    </r>
    <r>
      <rPr>
        <vertAlign val="superscript"/>
        <sz val="10.5"/>
        <color theme="1"/>
        <rFont val="Arial"/>
        <family val="2"/>
      </rPr>
      <t>-6</t>
    </r>
  </si>
  <si>
    <r>
      <t>12.5×10</t>
    </r>
    <r>
      <rPr>
        <vertAlign val="superscript"/>
        <sz val="10.5"/>
        <color theme="1"/>
        <rFont val="Arial"/>
        <family val="2"/>
      </rPr>
      <t>-6</t>
    </r>
  </si>
  <si>
    <t>-</t>
  </si>
  <si>
    <r>
      <t>10.9×10</t>
    </r>
    <r>
      <rPr>
        <vertAlign val="superscript"/>
        <sz val="10.5"/>
        <color theme="1"/>
        <rFont val="Arial"/>
        <family val="2"/>
      </rPr>
      <t>-6</t>
    </r>
  </si>
  <si>
    <r>
      <t>11.0×10</t>
    </r>
    <r>
      <rPr>
        <vertAlign val="superscript"/>
        <sz val="10.5"/>
        <color theme="1"/>
        <rFont val="Arial"/>
        <family val="2"/>
      </rPr>
      <t>-6</t>
    </r>
  </si>
  <si>
    <r>
      <t>13.1×10</t>
    </r>
    <r>
      <rPr>
        <vertAlign val="superscript"/>
        <sz val="10.5"/>
        <color theme="1"/>
        <rFont val="Arial"/>
        <family val="2"/>
      </rPr>
      <t>-6</t>
    </r>
  </si>
  <si>
    <r>
      <t>10.7×10</t>
    </r>
    <r>
      <rPr>
        <vertAlign val="superscript"/>
        <sz val="10.5"/>
        <color theme="1"/>
        <rFont val="Arial"/>
        <family val="2"/>
      </rPr>
      <t>-6</t>
    </r>
  </si>
  <si>
    <r>
      <t>11.1×10</t>
    </r>
    <r>
      <rPr>
        <vertAlign val="superscript"/>
        <sz val="10.5"/>
        <color theme="1"/>
        <rFont val="Arial"/>
        <family val="2"/>
      </rPr>
      <t>-6</t>
    </r>
  </si>
  <si>
    <r>
      <t>11.2×10</t>
    </r>
    <r>
      <rPr>
        <vertAlign val="superscript"/>
        <sz val="10.5"/>
        <color theme="1"/>
        <rFont val="Arial"/>
        <family val="2"/>
      </rPr>
      <t>-6</t>
    </r>
  </si>
  <si>
    <r>
      <t>14.3×10</t>
    </r>
    <r>
      <rPr>
        <vertAlign val="superscript"/>
        <sz val="10.5"/>
        <color theme="1"/>
        <rFont val="Arial"/>
        <family val="2"/>
      </rPr>
      <t>-6</t>
    </r>
  </si>
  <si>
    <t>PT</t>
    <phoneticPr fontId="4" type="noConversion"/>
  </si>
  <si>
    <t>T</t>
    <phoneticPr fontId="11" type="noConversion"/>
  </si>
  <si>
    <r>
      <t>L</t>
    </r>
    <r>
      <rPr>
        <vertAlign val="subscript"/>
        <sz val="12"/>
        <color theme="1"/>
        <rFont val="Arial"/>
        <family val="2"/>
      </rPr>
      <t>0</t>
    </r>
    <phoneticPr fontId="11" type="noConversion"/>
  </si>
  <si>
    <t>α</t>
    <phoneticPr fontId="11" type="noConversion"/>
  </si>
  <si>
    <r>
      <t>L</t>
    </r>
    <r>
      <rPr>
        <vertAlign val="subscript"/>
        <sz val="12"/>
        <color theme="1"/>
        <rFont val="Arial"/>
        <family val="2"/>
      </rPr>
      <t>T</t>
    </r>
    <phoneticPr fontId="11" type="noConversion"/>
  </si>
  <si>
    <r>
      <rPr>
        <sz val="12"/>
        <color theme="1"/>
        <rFont val="Calibri"/>
        <family val="2"/>
      </rPr>
      <t>∆</t>
    </r>
    <r>
      <rPr>
        <sz val="12"/>
        <color theme="1"/>
        <rFont val="Arial"/>
        <family val="2"/>
      </rPr>
      <t>L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</si>
</sst>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1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2"/>
      <charset val="136"/>
      <scheme val="minor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微軟正黑體"/>
      <family val="2"/>
      <charset val="136"/>
    </font>
    <font>
      <vertAlign val="subscript"/>
      <sz val="12"/>
      <color theme="1"/>
      <name val="Arial"/>
      <family val="2"/>
    </font>
    <font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微軟正黑體"/>
      <family val="2"/>
      <charset val="136"/>
    </font>
    <font>
      <vertAlign val="superscript"/>
      <sz val="11"/>
      <color theme="1"/>
      <name val="Arial"/>
      <family val="2"/>
    </font>
    <font>
      <sz val="9"/>
      <name val="等线"/>
      <family val="2"/>
      <charset val="136"/>
      <scheme val="minor"/>
    </font>
    <font>
      <sz val="10.5"/>
      <color theme="1"/>
      <name val="Arial"/>
      <family val="2"/>
    </font>
    <font>
      <sz val="10.5"/>
      <color theme="1"/>
      <name val="微軟正黑體"/>
      <family val="2"/>
      <charset val="136"/>
    </font>
    <font>
      <sz val="10"/>
      <color theme="1"/>
      <name val="Arial"/>
      <family val="2"/>
    </font>
    <font>
      <vertAlign val="superscript"/>
      <sz val="10.5"/>
      <color theme="1"/>
      <name val="Arial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1" applyFo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0" borderId="1" xfId="1" applyFont="1" applyBorder="1">
      <alignment vertical="center"/>
    </xf>
    <xf numFmtId="0" fontId="12" fillId="0" borderId="5" xfId="1" applyFont="1" applyBorder="1" applyAlignment="1">
      <alignment horizontal="justify" vertical="center" wrapText="1"/>
    </xf>
    <xf numFmtId="0" fontId="12" fillId="0" borderId="4" xfId="1" applyFont="1" applyBorder="1" applyAlignment="1">
      <alignment horizontal="justify" vertical="center" wrapText="1"/>
    </xf>
    <xf numFmtId="0" fontId="3" fillId="0" borderId="1" xfId="1" applyFont="1" applyBorder="1" applyAlignment="1">
      <alignment horizontal="center" vertical="center"/>
    </xf>
    <xf numFmtId="176" fontId="14" fillId="4" borderId="1" xfId="1" applyNumberFormat="1" applyFont="1" applyFill="1" applyBorder="1" applyAlignment="1">
      <alignment horizontal="center" vertical="center"/>
    </xf>
    <xf numFmtId="176" fontId="14" fillId="5" borderId="1" xfId="1" applyNumberFormat="1" applyFont="1" applyFill="1" applyBorder="1" applyAlignment="1">
      <alignment horizontal="center" vertical="center"/>
    </xf>
    <xf numFmtId="176" fontId="14" fillId="3" borderId="1" xfId="1" applyNumberFormat="1" applyFont="1" applyFill="1" applyBorder="1" applyAlignment="1">
      <alignment horizontal="center" vertical="center"/>
    </xf>
    <xf numFmtId="176" fontId="14" fillId="6" borderId="1" xfId="1" applyNumberFormat="1" applyFont="1" applyFill="1" applyBorder="1" applyAlignment="1">
      <alignment horizontal="center" vertical="center"/>
    </xf>
    <xf numFmtId="176" fontId="14" fillId="7" borderId="1" xfId="1" applyNumberFormat="1" applyFont="1" applyFill="1" applyBorder="1" applyAlignment="1">
      <alignment horizontal="center" vertical="center"/>
    </xf>
    <xf numFmtId="176" fontId="14" fillId="8" borderId="1" xfId="1" applyNumberFormat="1" applyFont="1" applyFill="1" applyBorder="1" applyAlignment="1">
      <alignment horizontal="center" vertical="center"/>
    </xf>
    <xf numFmtId="176" fontId="14" fillId="9" borderId="1" xfId="1" applyNumberFormat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justify" vertical="center" wrapText="1"/>
    </xf>
    <xf numFmtId="0" fontId="12" fillId="0" borderId="7" xfId="1" applyFont="1" applyBorder="1" applyAlignment="1">
      <alignment horizontal="justify" vertical="center" wrapText="1"/>
    </xf>
    <xf numFmtId="0" fontId="12" fillId="0" borderId="8" xfId="1" applyFont="1" applyBorder="1" applyAlignment="1">
      <alignment horizontal="justify" vertical="center" wrapText="1"/>
    </xf>
    <xf numFmtId="0" fontId="12" fillId="0" borderId="9" xfId="1" applyFont="1" applyBorder="1" applyAlignment="1">
      <alignment horizontal="justify" vertical="center" wrapText="1"/>
    </xf>
    <xf numFmtId="0" fontId="3" fillId="0" borderId="10" xfId="1" applyFont="1" applyBorder="1">
      <alignment vertical="center"/>
    </xf>
    <xf numFmtId="0" fontId="3" fillId="0" borderId="11" xfId="1" applyFont="1" applyBorder="1">
      <alignment vertical="center"/>
    </xf>
    <xf numFmtId="0" fontId="3" fillId="0" borderId="12" xfId="1" applyFont="1" applyBorder="1">
      <alignment vertical="center"/>
    </xf>
    <xf numFmtId="0" fontId="3" fillId="0" borderId="13" xfId="1" applyFont="1" applyBorder="1">
      <alignment vertical="center"/>
    </xf>
    <xf numFmtId="0" fontId="1" fillId="0" borderId="14" xfId="2" applyBorder="1">
      <alignment vertical="center"/>
    </xf>
    <xf numFmtId="0" fontId="3" fillId="0" borderId="15" xfId="1" applyFont="1" applyBorder="1">
      <alignment vertical="center"/>
    </xf>
    <xf numFmtId="0" fontId="3" fillId="0" borderId="16" xfId="1" applyFont="1" applyBorder="1">
      <alignment vertical="center"/>
    </xf>
    <xf numFmtId="0" fontId="3" fillId="0" borderId="17" xfId="1" applyFont="1" applyBorder="1">
      <alignment vertical="center"/>
    </xf>
    <xf numFmtId="0" fontId="12" fillId="0" borderId="0" xfId="1" applyFont="1" applyAlignment="1">
      <alignment horizontal="center" vertical="center"/>
    </xf>
  </cellXfs>
  <cellStyles count="3">
    <cellStyle name="常规" xfId="0" builtinId="0"/>
    <cellStyle name="常规 2 2" xfId="1" xr:uid="{953082C5-9A1A-4D28-923E-A829CD89D196}"/>
    <cellStyle name="常规 3" xfId="2" xr:uid="{ACC1686A-EAC1-4E8A-8907-71A47516B0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zh-TW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Pt</a:t>
            </a:r>
            <a:r>
              <a:rPr lang="zh-TW" altLang="en-US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合金溫度</a:t>
            </a:r>
            <a:r>
              <a:rPr lang="en-US" altLang="zh-TW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--</a:t>
            </a:r>
            <a:r>
              <a:rPr lang="zh-TW" altLang="en-US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熱線性膨脹係數</a:t>
            </a:r>
            <a:r>
              <a:rPr lang="el-GR" altLang="zh-TW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α</a:t>
            </a:r>
            <a:r>
              <a:rPr lang="en-US" altLang="zh-TW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 ×10</a:t>
            </a:r>
            <a:r>
              <a:rPr lang="en-US" altLang="zh-TW" b="0" baseline="3000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-6</a:t>
            </a:r>
            <a:endParaRPr lang="zh-TW" b="0"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鉑金热膨胀计算!$D$3</c:f>
              <c:strCache>
                <c:ptCount val="1"/>
                <c:pt idx="0">
                  <c:v>Pt
(α)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1712121212121212"/>
                  <c:y val="0.19138125551677979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鉑金热膨胀计算!$B$5:$B$19</c:f>
              <c:numCache>
                <c:formatCode>General</c:formatCode>
                <c:ptCount val="1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</c:numCache>
            </c:numRef>
          </c:xVal>
          <c:yVal>
            <c:numRef>
              <c:f>鉑金热膨胀计算!$D$5:$D$14</c:f>
              <c:numCache>
                <c:formatCode>0.0000_);[Red]\(0.0000\)</c:formatCode>
                <c:ptCount val="10"/>
                <c:pt idx="0">
                  <c:v>8.9999999999990088</c:v>
                </c:pt>
                <c:pt idx="1">
                  <c:v>9.000000000000119</c:v>
                </c:pt>
                <c:pt idx="2">
                  <c:v>9.3333333333330462</c:v>
                </c:pt>
                <c:pt idx="3">
                  <c:v>9.5000000000000639</c:v>
                </c:pt>
                <c:pt idx="4">
                  <c:v>9.5999999999998309</c:v>
                </c:pt>
                <c:pt idx="5">
                  <c:v>9.6666666666667123</c:v>
                </c:pt>
                <c:pt idx="6">
                  <c:v>9.8571428571427226</c:v>
                </c:pt>
                <c:pt idx="7">
                  <c:v>9.8750000000000231</c:v>
                </c:pt>
                <c:pt idx="8">
                  <c:v>10.111111111111232</c:v>
                </c:pt>
                <c:pt idx="9">
                  <c:v>10.199999999999987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6E-42F2-9BA4-7C2DBA59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516192"/>
        <c:axId val="31951675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鉑金热膨胀计算!$F$3</c15:sqref>
                        </c15:formulaRef>
                      </c:ext>
                    </c:extLst>
                    <c:strCache>
                      <c:ptCount val="1"/>
                      <c:pt idx="0">
                        <c:v>PtRh10
(α)</c:v>
                      </c:pt>
                    </c:strCache>
                  </c:strRef>
                </c:tx>
                <c:spPr>
                  <a:ln w="95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poly"/>
                  <c:order val="4"/>
                  <c:dispRSqr val="0"/>
                  <c:dispEq val="1"/>
                  <c:trendlineLbl>
                    <c:layout>
                      <c:manualLayout>
                        <c:x val="6.8476855165831546E-2"/>
                        <c:y val="0.33034082738544096"/>
                      </c:manualLayout>
                    </c:layout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鉑金热膨胀计算!$F$5:$F$19</c15:sqref>
                        </c15:formulaRef>
                      </c:ext>
                    </c:extLst>
                    <c:numCache>
                      <c:formatCode>0.0000_);[Red]\(0.0000\)</c:formatCode>
                      <c:ptCount val="15"/>
                      <c:pt idx="0">
                        <c:v>9.9999999999988987</c:v>
                      </c:pt>
                      <c:pt idx="1">
                        <c:v>10.000000000000009</c:v>
                      </c:pt>
                      <c:pt idx="2">
                        <c:v>9.9999999999996376</c:v>
                      </c:pt>
                      <c:pt idx="3">
                        <c:v>10.249999999999982</c:v>
                      </c:pt>
                      <c:pt idx="4">
                        <c:v>10.200000000000209</c:v>
                      </c:pt>
                      <c:pt idx="5">
                        <c:v>10.166666666666657</c:v>
                      </c:pt>
                      <c:pt idx="6">
                        <c:v>10.285714285714421</c:v>
                      </c:pt>
                      <c:pt idx="7">
                        <c:v>10.374999999999968</c:v>
                      </c:pt>
                      <c:pt idx="8">
                        <c:v>10.444444444444528</c:v>
                      </c:pt>
                      <c:pt idx="9">
                        <c:v>10.599999999999943</c:v>
                      </c:pt>
                      <c:pt idx="10">
                        <c:v>10.636363636363676</c:v>
                      </c:pt>
                      <c:pt idx="11">
                        <c:v>10.916666666666575</c:v>
                      </c:pt>
                      <c:pt idx="12">
                        <c:v>11.076923076923054</c:v>
                      </c:pt>
                      <c:pt idx="13">
                        <c:v>11.285714285714311</c:v>
                      </c:pt>
                      <c:pt idx="14">
                        <c:v>11.733333333333373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C46E-42F2-9BA4-7C2DBA59C76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鉑金热膨胀计算!$H$3</c15:sqref>
                        </c15:formulaRef>
                      </c:ext>
                    </c:extLst>
                    <c:strCache>
                      <c:ptCount val="1"/>
                      <c:pt idx="0">
                        <c:v>PtRh20
(α)</c:v>
                      </c:pt>
                    </c:strCache>
                  </c:strRef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ash"/>
                    </a:ln>
                    <a:effectLst/>
                  </c:spPr>
                  <c:trendlineType val="poly"/>
                  <c:order val="6"/>
                  <c:dispRSqr val="1"/>
                  <c:dispEq val="1"/>
                  <c:trendlineLbl>
                    <c:layout>
                      <c:manualLayout>
                        <c:x val="7.6438916726318307E-2"/>
                        <c:y val="0.35104066195511752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 algn="ctr" rtl="0">
                            <a:def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defRPr>
                          </a:pP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y = -1.362330E-17x6 + 6.567769E-14x5 - 1.256153E-10x4 + 1.233031E-07x3 - 6.760337E-05x2 + 2.352578E-02x + 4.206619E+00</a:t>
                          </a:r>
                          <a:b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</a:b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R² = 9.972203E-01(PtRh20)</a:t>
                          </a:r>
                        </a:p>
                      </c:rich>
                    </c:tx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鉑金热膨胀计算!$H$5:$H$19</c15:sqref>
                        </c15:formulaRef>
                      </c:ext>
                    </c:extLst>
                    <c:numCache>
                      <c:formatCode>0.0000_);[Red]\(0.0000\)</c:formatCode>
                      <c:ptCount val="15"/>
                      <c:pt idx="0">
                        <c:v>5.9999999999993392</c:v>
                      </c:pt>
                      <c:pt idx="1">
                        <c:v>7.0000000000003393</c:v>
                      </c:pt>
                      <c:pt idx="2">
                        <c:v>7.6666666666665622</c:v>
                      </c:pt>
                      <c:pt idx="3">
                        <c:v>8.0000000000002292</c:v>
                      </c:pt>
                      <c:pt idx="4">
                        <c:v>8.599999999999941</c:v>
                      </c:pt>
                      <c:pt idx="5">
                        <c:v>8.8333333333334707</c:v>
                      </c:pt>
                      <c:pt idx="6">
                        <c:v>8.9999999999999591</c:v>
                      </c:pt>
                      <c:pt idx="7">
                        <c:v>9.3750000000000764</c:v>
                      </c:pt>
                      <c:pt idx="8">
                        <c:v>9.6666666666665879</c:v>
                      </c:pt>
                      <c:pt idx="9">
                        <c:v>9.9000000000000199</c:v>
                      </c:pt>
                      <c:pt idx="10">
                        <c:v>10.181818181818272</c:v>
                      </c:pt>
                      <c:pt idx="11">
                        <c:v>10.416666666666629</c:v>
                      </c:pt>
                      <c:pt idx="12">
                        <c:v>10.615384615384642</c:v>
                      </c:pt>
                      <c:pt idx="13">
                        <c:v>10.85714285714293</c:v>
                      </c:pt>
                      <c:pt idx="14">
                        <c:v>11.133333333333292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46E-42F2-9BA4-7C2DBA59C76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鉑金热膨胀计算!$J$3</c15:sqref>
                        </c15:formulaRef>
                      </c:ext>
                    </c:extLst>
                    <c:strCache>
                      <c:ptCount val="1"/>
                      <c:pt idx="0">
                        <c:v>PtRh30
(α)</c:v>
                      </c:pt>
                    </c:strCache>
                  </c:strRef>
                </c:tx>
                <c:spPr>
                  <a:ln w="95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ash"/>
                    </a:ln>
                    <a:effectLst/>
                  </c:spPr>
                  <c:trendlineType val="poly"/>
                  <c:order val="4"/>
                  <c:dispRSqr val="1"/>
                  <c:dispEq val="1"/>
                  <c:trendlineLbl>
                    <c:layout>
                      <c:manualLayout>
                        <c:x val="6.9992006680983057E-2"/>
                        <c:y val="0.40165050359796334"/>
                      </c:manualLayout>
                    </c:layout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鉑金热膨胀计算!$J$5:$J$19</c15:sqref>
                        </c15:formulaRef>
                      </c:ext>
                    </c:extLst>
                    <c:numCache>
                      <c:formatCode>0.0000_);[Red]\(0.0000\)</c:formatCode>
                      <c:ptCount val="15"/>
                      <c:pt idx="0">
                        <c:v>8.9999999999990088</c:v>
                      </c:pt>
                      <c:pt idx="1">
                        <c:v>8.5000000000001741</c:v>
                      </c:pt>
                      <c:pt idx="2">
                        <c:v>8.9999999999997495</c:v>
                      </c:pt>
                      <c:pt idx="3">
                        <c:v>8.7500000000001474</c:v>
                      </c:pt>
                      <c:pt idx="4">
                        <c:v>8.999999999999897</c:v>
                      </c:pt>
                      <c:pt idx="5">
                        <c:v>9.000000000000119</c:v>
                      </c:pt>
                      <c:pt idx="6">
                        <c:v>9.1428571428570873</c:v>
                      </c:pt>
                      <c:pt idx="7">
                        <c:v>9.3750000000000764</c:v>
                      </c:pt>
                      <c:pt idx="8">
                        <c:v>9.4444444444443896</c:v>
                      </c:pt>
                      <c:pt idx="9">
                        <c:v>9.7000000000000419</c:v>
                      </c:pt>
                      <c:pt idx="10">
                        <c:v>9.9090909090908266</c:v>
                      </c:pt>
                      <c:pt idx="11">
                        <c:v>10.083333333333332</c:v>
                      </c:pt>
                      <c:pt idx="12">
                        <c:v>10.384615384615437</c:v>
                      </c:pt>
                      <c:pt idx="13">
                        <c:v>10.64285714285708</c:v>
                      </c:pt>
                      <c:pt idx="14">
                        <c:v>10.999999999999973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46E-42F2-9BA4-7C2DBA59C76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鉑金热膨胀计算!$L$3</c15:sqref>
                        </c15:formulaRef>
                      </c:ext>
                    </c:extLst>
                    <c:strCache>
                      <c:ptCount val="1"/>
                      <c:pt idx="0">
                        <c:v>PtRh95
(α)</c:v>
                      </c:pt>
                    </c:strCache>
                  </c:strRef>
                </c:tx>
                <c:spPr>
                  <a:ln w="95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ash"/>
                    </a:ln>
                    <a:effectLst/>
                  </c:spPr>
                  <c:trendlineType val="poly"/>
                  <c:order val="6"/>
                  <c:dispRSqr val="1"/>
                  <c:dispEq val="1"/>
                  <c:trendlineLbl>
                    <c:layout>
                      <c:manualLayout>
                        <c:x val="6.8476855165831546E-2"/>
                        <c:y val="0.52437495981153803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 algn="ctr" rtl="0">
                            <a:def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defRPr>
                          </a:pP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y = 1.235069E-17x6 - 6.802056E-14x5 + 1.485282E-10x4 - 1.626077E-07x3 + 9.520664E-05x2 - 2.740299E-02x + 1.189567E+01</a:t>
                          </a:r>
                          <a:b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</a:b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R² = 9.953941E-01(PtRh95)</a:t>
                          </a:r>
                        </a:p>
                      </c:rich>
                    </c:tx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鉑金热膨胀计算!$L$5:$L$19</c15:sqref>
                        </c15:formulaRef>
                      </c:ext>
                    </c:extLst>
                    <c:numCache>
                      <c:formatCode>0.0000_);[Red]\(0.0000\)</c:formatCode>
                      <c:ptCount val="15"/>
                      <c:pt idx="0">
                        <c:v>9.9999999999988987</c:v>
                      </c:pt>
                      <c:pt idx="1">
                        <c:v>9.000000000000119</c:v>
                      </c:pt>
                      <c:pt idx="2">
                        <c:v>8.9999999999997495</c:v>
                      </c:pt>
                      <c:pt idx="3">
                        <c:v>9.000000000000119</c:v>
                      </c:pt>
                      <c:pt idx="4">
                        <c:v>8.999999999999897</c:v>
                      </c:pt>
                      <c:pt idx="5">
                        <c:v>9.000000000000119</c:v>
                      </c:pt>
                      <c:pt idx="6">
                        <c:v>9.2857142857142154</c:v>
                      </c:pt>
                      <c:pt idx="7">
                        <c:v>9.5000000000000639</c:v>
                      </c:pt>
                      <c:pt idx="8">
                        <c:v>9.6666666666665879</c:v>
                      </c:pt>
                      <c:pt idx="9">
                        <c:v>10.000000000000009</c:v>
                      </c:pt>
                      <c:pt idx="10">
                        <c:v>10.272727272727353</c:v>
                      </c:pt>
                      <c:pt idx="11">
                        <c:v>10.666666666666602</c:v>
                      </c:pt>
                      <c:pt idx="12">
                        <c:v>11.230769230769189</c:v>
                      </c:pt>
                      <c:pt idx="13">
                        <c:v>11.714285714285692</c:v>
                      </c:pt>
                      <c:pt idx="14">
                        <c:v>12.266666666666648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46E-42F2-9BA4-7C2DBA59C76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鉑金热膨胀计算!$N$3</c15:sqref>
                        </c15:formulaRef>
                      </c:ext>
                    </c:extLst>
                    <c:strCache>
                      <c:ptCount val="1"/>
                      <c:pt idx="0">
                        <c:v>Rh
(α)</c:v>
                      </c:pt>
                    </c:strCache>
                  </c:strRef>
                </c:tx>
                <c:spPr>
                  <a:ln w="95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ash"/>
                    </a:ln>
                    <a:effectLst/>
                  </c:spPr>
                  <c:trendlineType val="poly"/>
                  <c:order val="6"/>
                  <c:dispRSqr val="1"/>
                  <c:dispEq val="1"/>
                  <c:trendlineLbl>
                    <c:layout>
                      <c:manualLayout>
                        <c:x val="6.8476855165831546E-2"/>
                        <c:y val="0.55949280699600745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 algn="ctr" rtl="0">
                            <a:def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defRPr>
                          </a:pP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y = 1.306742E-17x6 - 6.631743E-14x5 + 1.302049E-10x4 - 1.232810E-07x3 + 5.711332E-05x2 - 9.488164E-03x + 9.468245E+00</a:t>
                          </a:r>
                          <a:b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</a:b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R² = 9.976546E-01(Rh)</a:t>
                          </a:r>
                        </a:p>
                      </c:rich>
                    </c:tx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鉑金热膨胀计算!$N$5:$N$19</c15:sqref>
                        </c15:formulaRef>
                      </c:ext>
                    </c:extLst>
                    <c:numCache>
                      <c:formatCode>0.0000_);[Red]\(0.0000\)</c:formatCode>
                      <c:ptCount val="15"/>
                      <c:pt idx="0">
                        <c:v>8.9999999999990088</c:v>
                      </c:pt>
                      <c:pt idx="1">
                        <c:v>9.000000000000119</c:v>
                      </c:pt>
                      <c:pt idx="2">
                        <c:v>9.3333333333330462</c:v>
                      </c:pt>
                      <c:pt idx="3">
                        <c:v>9.7500000000000373</c:v>
                      </c:pt>
                      <c:pt idx="4">
                        <c:v>9.7999999999998089</c:v>
                      </c:pt>
                      <c:pt idx="5">
                        <c:v>10.000000000000009</c:v>
                      </c:pt>
                      <c:pt idx="6">
                        <c:v>10.142857142857295</c:v>
                      </c:pt>
                      <c:pt idx="7">
                        <c:v>10.374999999999968</c:v>
                      </c:pt>
                      <c:pt idx="8">
                        <c:v>10.555555555555626</c:v>
                      </c:pt>
                      <c:pt idx="9">
                        <c:v>10.799999999999921</c:v>
                      </c:pt>
                      <c:pt idx="10">
                        <c:v>11</c:v>
                      </c:pt>
                      <c:pt idx="11">
                        <c:v>11.250000000000057</c:v>
                      </c:pt>
                      <c:pt idx="12">
                        <c:v>11.538461538461464</c:v>
                      </c:pt>
                      <c:pt idx="13">
                        <c:v>11.785714285714256</c:v>
                      </c:pt>
                      <c:pt idx="14">
                        <c:v>12.06666666666667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46E-42F2-9BA4-7C2DBA59C76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鉑金热膨胀计算!$P$3</c15:sqref>
                        </c15:formulaRef>
                      </c:ext>
                    </c:extLst>
                    <c:strCache>
                      <c:ptCount val="1"/>
                      <c:pt idx="0">
                        <c:v>PtAu5
(α)</c:v>
                      </c:pt>
                    </c:strCache>
                  </c:strRef>
                </c:tx>
                <c:spPr>
                  <a:ln w="95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1">
                          <a:lumMod val="60000"/>
                        </a:schemeClr>
                      </a:solidFill>
                      <a:prstDash val="sysDash"/>
                    </a:ln>
                    <a:effectLst/>
                  </c:spPr>
                  <c:trendlineType val="poly"/>
                  <c:order val="6"/>
                  <c:dispRSqr val="1"/>
                  <c:dispEq val="1"/>
                  <c:trendlineLbl>
                    <c:layout>
                      <c:manualLayout>
                        <c:x val="0.17272727272727273"/>
                        <c:y val="0.51297926567642294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 algn="ctr" rtl="0">
                            <a:def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defRPr>
                          </a:pP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y = 4.566959E-17x6 - 1.928555E-13x5 + 3.129411E-10x4 - 2.461481E-07x3 + 9.673000E-05x2 - 1.560074E-02x + 9.804849E+00</a:t>
                          </a:r>
                          <a:b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</a:b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R² = 9.949526E-01(PtAu5)</a:t>
                          </a:r>
                        </a:p>
                      </c:rich>
                    </c:tx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鉑金热膨胀计算!$P$5:$P$17</c15:sqref>
                        </c15:formulaRef>
                      </c:ext>
                    </c:extLst>
                    <c:numCache>
                      <c:formatCode>0.0000_);[Red]\(0.0000\)</c:formatCode>
                      <c:ptCount val="13"/>
                      <c:pt idx="0">
                        <c:v>8.9999999999990088</c:v>
                      </c:pt>
                      <c:pt idx="1">
                        <c:v>9.000000000000119</c:v>
                      </c:pt>
                      <c:pt idx="2">
                        <c:v>9.3333333333330462</c:v>
                      </c:pt>
                      <c:pt idx="3">
                        <c:v>9.5000000000000639</c:v>
                      </c:pt>
                      <c:pt idx="4">
                        <c:v>9.5999999999998309</c:v>
                      </c:pt>
                      <c:pt idx="5">
                        <c:v>9.8333333333333606</c:v>
                      </c:pt>
                      <c:pt idx="6">
                        <c:v>9.9999999999998508</c:v>
                      </c:pt>
                      <c:pt idx="7">
                        <c:v>10.124999999999995</c:v>
                      </c:pt>
                      <c:pt idx="8">
                        <c:v>10.333333333333428</c:v>
                      </c:pt>
                      <c:pt idx="9">
                        <c:v>10.599999999999943</c:v>
                      </c:pt>
                      <c:pt idx="10">
                        <c:v>10.545454545454595</c:v>
                      </c:pt>
                      <c:pt idx="11">
                        <c:v>10.416666666666629</c:v>
                      </c:pt>
                      <c:pt idx="12">
                        <c:v>10.384615384615437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46E-42F2-9BA4-7C2DBA59C76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鉑金热膨胀计算!$Q$3</c15:sqref>
                        </c15:formulaRef>
                      </c:ext>
                    </c:extLst>
                    <c:strCache>
                      <c:ptCount val="1"/>
                      <c:pt idx="0">
                        <c:v>ZGSPt</c:v>
                      </c:pt>
                    </c:strCache>
                  </c:strRef>
                </c:tx>
                <c:spPr>
                  <a:ln w="95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ash"/>
                    </a:ln>
                    <a:effectLst/>
                  </c:spPr>
                  <c:trendlineType val="poly"/>
                  <c:order val="2"/>
                  <c:dispRSqr val="1"/>
                  <c:dispEq val="1"/>
                  <c:trendlineLbl>
                    <c:layout>
                      <c:manualLayout>
                        <c:x val="0.14240224791835543"/>
                        <c:y val="5.3862038124967121E-2"/>
                      </c:manualLayout>
                    </c:layout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lt1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(鉑金热膨胀计算!$B$9,鉑金热膨胀计算!$B$14,鉑金热膨胀计算!$B$16,鉑金热膨胀计算!$B$17)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1200</c:v>
                      </c:pt>
                      <c:pt idx="3">
                        <c:v>1300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(鉑金热膨胀计算!$Q$9,鉑金热膨胀计算!$Q$14,鉑金热膨胀计算!$Q$16,鉑金热膨胀计算!$Q$17)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9.5</c:v>
                      </c:pt>
                      <c:pt idx="1">
                        <c:v>10.199999999999999</c:v>
                      </c:pt>
                      <c:pt idx="2">
                        <c:v>10.6</c:v>
                      </c:pt>
                      <c:pt idx="3">
                        <c:v>10.7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46E-42F2-9BA4-7C2DBA59C76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鉑金热膨胀计算!$R$3</c15:sqref>
                        </c15:formulaRef>
                      </c:ext>
                    </c:extLst>
                    <c:strCache>
                      <c:ptCount val="1"/>
                      <c:pt idx="0">
                        <c:v>ZGSPtRh10%</c:v>
                      </c:pt>
                    </c:strCache>
                  </c:strRef>
                </c:tx>
                <c:spPr>
                  <a:ln w="95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3">
                          <a:lumMod val="60000"/>
                        </a:schemeClr>
                      </a:solidFill>
                      <a:prstDash val="sysDash"/>
                    </a:ln>
                    <a:effectLst/>
                  </c:spPr>
                  <c:trendlineType val="poly"/>
                  <c:order val="2"/>
                  <c:dispRSqr val="1"/>
                  <c:dispEq val="1"/>
                  <c:trendlineLbl>
                    <c:layout>
                      <c:manualLayout>
                        <c:x val="0.18517542527991568"/>
                        <c:y val="-4.1603095826830125E-2"/>
                      </c:manualLayout>
                    </c:layout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lt1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(鉑金热膨胀计算!$B$9,鉑金热膨胀计算!$B$14,鉑金热膨胀计算!$B$16,鉑金热膨胀计算!$B$17)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1200</c:v>
                      </c:pt>
                      <c:pt idx="3">
                        <c:v>1300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(鉑金热膨胀计算!$R$9,鉑金热膨胀计算!$R$14,鉑金热膨胀计算!$R$16,鉑金热膨胀计算!$R$17)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10.199999999999999</c:v>
                      </c:pt>
                      <c:pt idx="1">
                        <c:v>10.6</c:v>
                      </c:pt>
                      <c:pt idx="2">
                        <c:v>11</c:v>
                      </c:pt>
                      <c:pt idx="3">
                        <c:v>11.2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46E-42F2-9BA4-7C2DBA59C763}"/>
                  </c:ext>
                </c:extLst>
              </c15:ser>
            </c15:filteredScatterSeries>
          </c:ext>
        </c:extLst>
      </c:scatterChart>
      <c:valAx>
        <c:axId val="319516192"/>
        <c:scaling>
          <c:orientation val="minMax"/>
          <c:max val="16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low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9516752"/>
        <c:crosses val="autoZero"/>
        <c:crossBetween val="midCat"/>
      </c:valAx>
      <c:valAx>
        <c:axId val="319516752"/>
        <c:scaling>
          <c:orientation val="minMax"/>
          <c:max val="1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951619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horizontalDpi="1200" verticalDpi="1200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12700</xdr:colOff>
          <xdr:row>8</xdr:row>
          <xdr:rowOff>12700</xdr:rowOff>
        </xdr:from>
        <xdr:to>
          <xdr:col>21</xdr:col>
          <xdr:colOff>317500</xdr:colOff>
          <xdr:row>11</xdr:row>
          <xdr:rowOff>127000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DA17FE3-E53C-4256-A7A7-703CAFC710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457200</xdr:colOff>
      <xdr:row>21</xdr:row>
      <xdr:rowOff>99060</xdr:rowOff>
    </xdr:from>
    <xdr:to>
      <xdr:col>17</xdr:col>
      <xdr:colOff>358140</xdr:colOff>
      <xdr:row>57</xdr:row>
      <xdr:rowOff>83820</xdr:rowOff>
    </xdr:to>
    <xdr:graphicFrame macro="">
      <xdr:nvGraphicFramePr>
        <xdr:cNvPr id="2" name="圖表 24">
          <a:extLst>
            <a:ext uri="{FF2B5EF4-FFF2-40B4-BE49-F238E27FC236}">
              <a16:creationId xmlns:a16="http://schemas.microsoft.com/office/drawing/2014/main" id="{A66579AD-F6C3-4D3B-B254-9FDCEDA84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0.00558</cdr:x>
      <cdr:y>0.01782</cdr:y>
    </cdr:from>
    <cdr:to>
      <cdr:x>1</cdr:x>
      <cdr:y>0.89087</cdr:y>
    </cdr:to>
    <cdr:grpSp>
      <cdr:nvGrpSpPr>
        <cdr:cNvPr id="4" name="群組 3">
          <a:extLst xmlns:a="http://schemas.openxmlformats.org/drawingml/2006/main">
            <a:ext uri="{FF2B5EF4-FFF2-40B4-BE49-F238E27FC236}">
              <a16:creationId xmlns:a16="http://schemas.microsoft.com/office/drawing/2014/main" id="{443B4E08-720D-417E-82DA-0A5BF4663519}"/>
            </a:ext>
          </a:extLst>
        </cdr:cNvPr>
        <cdr:cNvGrpSpPr/>
      </cdr:nvGrpSpPr>
      <cdr:grpSpPr>
        <a:xfrm xmlns:a="http://schemas.openxmlformats.org/drawingml/2006/main">
          <a:off x="58372" y="126012"/>
          <a:ext cx="10402618" cy="6173650"/>
          <a:chOff x="53340" y="121920"/>
          <a:chExt cx="9509760" cy="5974080"/>
        </a:xfrm>
      </cdr:grpSpPr>
      <cdr:sp macro="" textlink="">
        <cdr:nvSpPr>
          <cdr:cNvPr id="2" name="文字方塊 1">
            <a:extLst xmlns:a="http://schemas.openxmlformats.org/drawingml/2006/main">
              <a:ext uri="{FF2B5EF4-FFF2-40B4-BE49-F238E27FC236}">
                <a16:creationId xmlns:a16="http://schemas.microsoft.com/office/drawing/2014/main" id="{3CDB2534-965A-45E5-91C8-137E7856D1C2}"/>
              </a:ext>
            </a:extLst>
          </cdr:cNvPr>
          <cdr:cNvSpPr txBox="1"/>
        </cdr:nvSpPr>
        <cdr:spPr>
          <a:xfrm xmlns:a="http://schemas.openxmlformats.org/drawingml/2006/main">
            <a:off x="8945880" y="5821680"/>
            <a:ext cx="617220" cy="2743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zh-TW" altLang="en-US" sz="110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溫度℃</a:t>
            </a:r>
          </a:p>
        </cdr:txBody>
      </cdr:sp>
      <cdr:sp macro="" textlink="">
        <cdr:nvSpPr>
          <cdr:cNvPr id="3" name="文字方塊 2">
            <a:extLst xmlns:a="http://schemas.openxmlformats.org/drawingml/2006/main">
              <a:ext uri="{FF2B5EF4-FFF2-40B4-BE49-F238E27FC236}">
                <a16:creationId xmlns:a16="http://schemas.microsoft.com/office/drawing/2014/main" id="{CC559334-E124-4AF7-B664-BF11BABC62C1}"/>
              </a:ext>
            </a:extLst>
          </cdr:cNvPr>
          <cdr:cNvSpPr txBox="1"/>
        </cdr:nvSpPr>
        <cdr:spPr>
          <a:xfrm xmlns:a="http://schemas.openxmlformats.org/drawingml/2006/main">
            <a:off x="53340" y="121920"/>
            <a:ext cx="685800" cy="25908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l-GR" altLang="zh-TW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α</a:t>
            </a:r>
            <a:r>
              <a:rPr lang="en-US" altLang="zh-TW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×10</a:t>
            </a:r>
            <a:r>
              <a:rPr lang="en-US" altLang="zh-TW" sz="1100" baseline="300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-6</a:t>
            </a:r>
            <a:endParaRPr lang="zh-TW" altLang="en-US" sz="1100">
              <a:solidFill>
                <a:schemeClr val="bg1"/>
              </a:solidFill>
            </a:endParaRPr>
          </a:p>
        </cdr:txBody>
      </cdr:sp>
    </cdr:grp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30610\&#36746;&#19978;&#27861;&#35770;&#25991;\2023\&#38750;&#26512;&#26230;\GFS44\&#36746;&#19978;&#28909;&#24577;&#23454;&#39564;-GSF44(&#21547;&#19968;&#32500;&#25289;&#34180;)-V7%20(20240807).xlsm" TargetMode="External"/><Relationship Id="rId1" Type="http://schemas.openxmlformats.org/officeDocument/2006/relationships/externalLinkPath" Target="/20230610/&#36746;&#19978;&#27861;&#35770;&#25991;/2023/&#38750;&#26512;&#26230;/GFS44/&#36746;&#19978;&#28909;&#24577;&#23454;&#39564;-GSF44(&#21547;&#19968;&#32500;&#25289;&#34180;)-V7%20(20240807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GSF44黏度擬合係數"/>
      <sheetName val="MJB5玻璃特性"/>
      <sheetName val="减薄器(GSF44) "/>
      <sheetName val="一维薄膜计算( 垂直配合减薄器使用) "/>
      <sheetName val="一维薄膜计算( 唇砖薄膜计算)  "/>
      <sheetName val="一维拉薄(半硬)"/>
      <sheetName val="开放擴管壓差計算 (GSF44)"/>
      <sheetName val="鉑金系統壓力頭計算"/>
      <sheetName val="工作表1"/>
      <sheetName val="鉑金電氣計算"/>
      <sheetName val="鉑金热膨胀计算"/>
      <sheetName val="一维拉薄(广义)"/>
      <sheetName val="一维拉薄(广义) (2)"/>
      <sheetName val="一维拉薄(广义) (1200)"/>
      <sheetName val="一维拉薄(广义) (1150)"/>
      <sheetName val="一维拉薄(广义) (1100)"/>
      <sheetName val="一维拉薄(广义) (1050)"/>
      <sheetName val="一维拉薄(广义) (1000)"/>
      <sheetName val="一维拉薄(广义) (950)"/>
      <sheetName val="Sheet2"/>
      <sheetName val="一维拉薄(广义) (12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D3" t="str">
            <v>Pt
(α)</v>
          </cell>
          <cell r="F3" t="str">
            <v>PtRh10
(α)</v>
          </cell>
          <cell r="H3" t="str">
            <v>PtRh20
(α)</v>
          </cell>
          <cell r="J3" t="str">
            <v>PtRh30
(α)</v>
          </cell>
          <cell r="L3" t="str">
            <v>PtRh95
(α)</v>
          </cell>
          <cell r="N3" t="str">
            <v>Rh
(α)</v>
          </cell>
          <cell r="P3" t="str">
            <v>PtAu5
(α)</v>
          </cell>
          <cell r="Q3" t="str">
            <v>ZGSPt</v>
          </cell>
          <cell r="R3" t="str">
            <v>ZGSPtRh10%</v>
          </cell>
        </row>
        <row r="5">
          <cell r="B5">
            <v>100</v>
          </cell>
          <cell r="D5">
            <v>8.9999999999990088</v>
          </cell>
          <cell r="F5">
            <v>9.9999999999988987</v>
          </cell>
          <cell r="H5">
            <v>5.9999999999993392</v>
          </cell>
          <cell r="J5">
            <v>8.9999999999990088</v>
          </cell>
          <cell r="L5">
            <v>9.9999999999988987</v>
          </cell>
          <cell r="N5">
            <v>8.9999999999990088</v>
          </cell>
          <cell r="P5">
            <v>8.9999999999990088</v>
          </cell>
        </row>
        <row r="6">
          <cell r="B6">
            <v>200</v>
          </cell>
          <cell r="D6">
            <v>9.000000000000119</v>
          </cell>
          <cell r="F6">
            <v>10.000000000000009</v>
          </cell>
          <cell r="H6">
            <v>7.0000000000003393</v>
          </cell>
          <cell r="J6">
            <v>8.5000000000001741</v>
          </cell>
          <cell r="L6">
            <v>9.000000000000119</v>
          </cell>
          <cell r="N6">
            <v>9.000000000000119</v>
          </cell>
          <cell r="P6">
            <v>9.000000000000119</v>
          </cell>
        </row>
        <row r="7">
          <cell r="B7">
            <v>300</v>
          </cell>
          <cell r="D7">
            <v>9.3333333333330462</v>
          </cell>
          <cell r="F7">
            <v>9.9999999999996376</v>
          </cell>
          <cell r="H7">
            <v>7.6666666666665622</v>
          </cell>
          <cell r="J7">
            <v>8.9999999999997495</v>
          </cell>
          <cell r="L7">
            <v>8.9999999999997495</v>
          </cell>
          <cell r="N7">
            <v>9.3333333333330462</v>
          </cell>
          <cell r="P7">
            <v>9.3333333333330462</v>
          </cell>
        </row>
        <row r="8">
          <cell r="B8">
            <v>400</v>
          </cell>
          <cell r="D8">
            <v>9.5000000000000639</v>
          </cell>
          <cell r="F8">
            <v>10.249999999999982</v>
          </cell>
          <cell r="H8">
            <v>8.0000000000002292</v>
          </cell>
          <cell r="J8">
            <v>8.7500000000001474</v>
          </cell>
          <cell r="L8">
            <v>9.000000000000119</v>
          </cell>
          <cell r="N8">
            <v>9.7500000000000373</v>
          </cell>
          <cell r="P8">
            <v>9.5000000000000639</v>
          </cell>
        </row>
        <row r="9">
          <cell r="B9">
            <v>500</v>
          </cell>
          <cell r="D9">
            <v>9.5999999999998309</v>
          </cell>
          <cell r="F9">
            <v>10.200000000000209</v>
          </cell>
          <cell r="H9">
            <v>8.599999999999941</v>
          </cell>
          <cell r="J9">
            <v>8.999999999999897</v>
          </cell>
          <cell r="L9">
            <v>8.999999999999897</v>
          </cell>
          <cell r="N9">
            <v>9.7999999999998089</v>
          </cell>
          <cell r="P9">
            <v>9.5999999999998309</v>
          </cell>
          <cell r="Q9">
            <v>9.5</v>
          </cell>
          <cell r="R9">
            <v>10.199999999999999</v>
          </cell>
        </row>
        <row r="10">
          <cell r="B10">
            <v>600</v>
          </cell>
          <cell r="D10">
            <v>9.6666666666667123</v>
          </cell>
          <cell r="F10">
            <v>10.166666666666657</v>
          </cell>
          <cell r="H10">
            <v>8.8333333333334707</v>
          </cell>
          <cell r="J10">
            <v>9.000000000000119</v>
          </cell>
          <cell r="L10">
            <v>9.000000000000119</v>
          </cell>
          <cell r="N10">
            <v>10.000000000000009</v>
          </cell>
          <cell r="P10">
            <v>9.8333333333333606</v>
          </cell>
        </row>
        <row r="11">
          <cell r="B11">
            <v>700</v>
          </cell>
          <cell r="D11">
            <v>9.8571428571427226</v>
          </cell>
          <cell r="F11">
            <v>10.285714285714421</v>
          </cell>
          <cell r="H11">
            <v>8.9999999999999591</v>
          </cell>
          <cell r="J11">
            <v>9.1428571428570873</v>
          </cell>
          <cell r="L11">
            <v>9.2857142857142154</v>
          </cell>
          <cell r="N11">
            <v>10.142857142857295</v>
          </cell>
          <cell r="P11">
            <v>9.9999999999998508</v>
          </cell>
        </row>
        <row r="12">
          <cell r="B12">
            <v>800</v>
          </cell>
          <cell r="D12">
            <v>9.8750000000000231</v>
          </cell>
          <cell r="F12">
            <v>10.374999999999968</v>
          </cell>
          <cell r="H12">
            <v>9.3750000000000764</v>
          </cell>
          <cell r="J12">
            <v>9.3750000000000764</v>
          </cell>
          <cell r="L12">
            <v>9.5000000000000639</v>
          </cell>
          <cell r="N12">
            <v>10.374999999999968</v>
          </cell>
          <cell r="P12">
            <v>10.124999999999995</v>
          </cell>
        </row>
        <row r="13">
          <cell r="B13">
            <v>900</v>
          </cell>
          <cell r="D13">
            <v>10.111111111111232</v>
          </cell>
          <cell r="F13">
            <v>10.444444444444528</v>
          </cell>
          <cell r="H13">
            <v>9.6666666666665879</v>
          </cell>
          <cell r="J13">
            <v>9.4444444444443896</v>
          </cell>
          <cell r="L13">
            <v>9.6666666666665879</v>
          </cell>
          <cell r="N13">
            <v>10.555555555555626</v>
          </cell>
          <cell r="P13">
            <v>10.333333333333428</v>
          </cell>
        </row>
        <row r="14">
          <cell r="B14">
            <v>1000</v>
          </cell>
          <cell r="D14">
            <v>10.199999999999987</v>
          </cell>
          <cell r="F14">
            <v>10.599999999999943</v>
          </cell>
          <cell r="H14">
            <v>9.9000000000000199</v>
          </cell>
          <cell r="J14">
            <v>9.7000000000000419</v>
          </cell>
          <cell r="L14">
            <v>10.000000000000009</v>
          </cell>
          <cell r="N14">
            <v>10.799999999999921</v>
          </cell>
          <cell r="P14">
            <v>10.599999999999943</v>
          </cell>
          <cell r="Q14">
            <v>10.199999999999999</v>
          </cell>
          <cell r="R14">
            <v>10.6</v>
          </cell>
        </row>
        <row r="15">
          <cell r="B15">
            <v>1100</v>
          </cell>
          <cell r="F15">
            <v>10.636363636363676</v>
          </cell>
          <cell r="H15">
            <v>10.181818181818272</v>
          </cell>
          <cell r="J15">
            <v>9.9090909090908266</v>
          </cell>
          <cell r="L15">
            <v>10.272727272727353</v>
          </cell>
          <cell r="N15">
            <v>11</v>
          </cell>
          <cell r="P15">
            <v>10.545454545454595</v>
          </cell>
        </row>
        <row r="16">
          <cell r="B16">
            <v>1200</v>
          </cell>
          <cell r="F16">
            <v>10.916666666666575</v>
          </cell>
          <cell r="H16">
            <v>10.416666666666629</v>
          </cell>
          <cell r="J16">
            <v>10.083333333333332</v>
          </cell>
          <cell r="L16">
            <v>10.666666666666602</v>
          </cell>
          <cell r="N16">
            <v>11.250000000000057</v>
          </cell>
          <cell r="P16">
            <v>10.416666666666629</v>
          </cell>
          <cell r="Q16">
            <v>10.6</v>
          </cell>
          <cell r="R16">
            <v>11</v>
          </cell>
        </row>
        <row r="17">
          <cell r="B17">
            <v>1300</v>
          </cell>
          <cell r="F17">
            <v>11.076923076923054</v>
          </cell>
          <cell r="H17">
            <v>10.615384615384642</v>
          </cell>
          <cell r="J17">
            <v>10.384615384615437</v>
          </cell>
          <cell r="L17">
            <v>11.230769230769189</v>
          </cell>
          <cell r="N17">
            <v>11.538461538461464</v>
          </cell>
          <cell r="P17">
            <v>10.384615384615437</v>
          </cell>
          <cell r="Q17">
            <v>10.7</v>
          </cell>
          <cell r="R17">
            <v>11.2</v>
          </cell>
        </row>
        <row r="18">
          <cell r="B18">
            <v>1400</v>
          </cell>
          <cell r="F18">
            <v>11.285714285714311</v>
          </cell>
          <cell r="H18">
            <v>11.214285714285749</v>
          </cell>
          <cell r="J18">
            <v>10.64285714285708</v>
          </cell>
          <cell r="L18">
            <v>11.714285714285692</v>
          </cell>
          <cell r="N18">
            <v>11.785714285714256</v>
          </cell>
        </row>
        <row r="19">
          <cell r="B19">
            <v>1500</v>
          </cell>
          <cell r="F19">
            <v>11.733333333333373</v>
          </cell>
          <cell r="H19">
            <v>11.133333333333292</v>
          </cell>
          <cell r="J19">
            <v>10.999999999999973</v>
          </cell>
          <cell r="L19">
            <v>12.266666666666648</v>
          </cell>
          <cell r="N19">
            <v>12.06666666666667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6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05C5-8B7E-4320-8131-44DB6614D4D6}">
  <dimension ref="B1:Z44"/>
  <sheetViews>
    <sheetView tabSelected="1" workbookViewId="0">
      <selection activeCell="S28" sqref="S28"/>
    </sheetView>
  </sheetViews>
  <sheetFormatPr defaultColWidth="11.33203125" defaultRowHeight="15.5"/>
  <cols>
    <col min="1" max="1" width="11.33203125" style="1"/>
    <col min="2" max="2" width="12.33203125" style="1" bestFit="1" customWidth="1"/>
    <col min="3" max="3" width="7.75" style="1" customWidth="1"/>
    <col min="4" max="12" width="8.75" style="1" customWidth="1"/>
    <col min="13" max="13" width="7.75" style="1" customWidth="1"/>
    <col min="14" max="14" width="8.75" style="1" customWidth="1"/>
    <col min="15" max="17" width="7.75" style="1" customWidth="1"/>
    <col min="18" max="18" width="8.75" style="1" bestFit="1" customWidth="1"/>
    <col min="19" max="19" width="11.33203125" style="1"/>
    <col min="20" max="20" width="6" style="1" bestFit="1" customWidth="1"/>
    <col min="21" max="21" width="11.33203125" style="1" bestFit="1" customWidth="1"/>
    <col min="22" max="23" width="10.08203125" style="1" bestFit="1" customWidth="1"/>
    <col min="24" max="24" width="14.33203125" style="1" bestFit="1" customWidth="1"/>
    <col min="25" max="25" width="13" style="1" bestFit="1" customWidth="1"/>
    <col min="26" max="16384" width="11.33203125" style="1"/>
  </cols>
  <sheetData>
    <row r="1" spans="2:26" ht="16" thickBot="1"/>
    <row r="2" spans="2:26" ht="16" thickBot="1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T2" s="4" t="s">
        <v>1</v>
      </c>
      <c r="U2" s="5"/>
      <c r="V2" s="5"/>
      <c r="W2" s="5"/>
      <c r="X2" s="5"/>
      <c r="Y2" s="6"/>
    </row>
    <row r="3" spans="2:26" ht="32.5" thickBot="1">
      <c r="B3" s="7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10" t="s">
        <v>7</v>
      </c>
      <c r="H3" s="10" t="s">
        <v>8</v>
      </c>
      <c r="I3" s="11" t="s">
        <v>9</v>
      </c>
      <c r="J3" s="11" t="s">
        <v>10</v>
      </c>
      <c r="K3" s="12" t="s">
        <v>11</v>
      </c>
      <c r="L3" s="12" t="s">
        <v>12</v>
      </c>
      <c r="M3" s="13" t="s">
        <v>13</v>
      </c>
      <c r="N3" s="13" t="s">
        <v>14</v>
      </c>
      <c r="O3" s="14" t="s">
        <v>15</v>
      </c>
      <c r="P3" s="14" t="s">
        <v>16</v>
      </c>
      <c r="Q3" s="14" t="s">
        <v>17</v>
      </c>
      <c r="R3" s="15" t="s">
        <v>18</v>
      </c>
      <c r="T3" s="16" t="s">
        <v>19</v>
      </c>
      <c r="U3" s="17" t="s">
        <v>20</v>
      </c>
      <c r="V3" s="17" t="s">
        <v>17</v>
      </c>
      <c r="W3" s="17" t="s">
        <v>21</v>
      </c>
      <c r="X3" s="17" t="s">
        <v>18</v>
      </c>
      <c r="Y3" s="17" t="s">
        <v>22</v>
      </c>
    </row>
    <row r="4" spans="2:26">
      <c r="B4" s="18">
        <v>0</v>
      </c>
      <c r="C4" s="19">
        <v>1</v>
      </c>
      <c r="D4" s="19">
        <f>IF(AND(C4&gt;=1,$B4&gt;0),(C4-1)/$B4*1000000,0)</f>
        <v>0</v>
      </c>
      <c r="E4" s="20">
        <v>1</v>
      </c>
      <c r="F4" s="20">
        <f>IF(AND(E4&gt;=1,$B4&gt;0),(E4-1)/$B4*1000000,0)</f>
        <v>0</v>
      </c>
      <c r="G4" s="21">
        <v>1</v>
      </c>
      <c r="H4" s="21">
        <f>IF(AND(G4&gt;=1,$B4&gt;0),(G4-1)/$B4*1000000,0)</f>
        <v>0</v>
      </c>
      <c r="I4" s="22">
        <v>1</v>
      </c>
      <c r="J4" s="22">
        <f>IF(AND(I4&gt;=1,$B4&gt;0),(I4-1)/$B4*1000000,0)</f>
        <v>0</v>
      </c>
      <c r="K4" s="23">
        <v>1</v>
      </c>
      <c r="L4" s="23">
        <f>IF(AND(K4&gt;=1,$B4&gt;0),(K4-1)/$B4*1000000,0)</f>
        <v>0</v>
      </c>
      <c r="M4" s="24">
        <v>1</v>
      </c>
      <c r="N4" s="24">
        <f>IF(AND(M4&gt;=1,$B4&gt;0),(M4-1)/$B4*1000000,0)</f>
        <v>0</v>
      </c>
      <c r="O4" s="25">
        <v>1</v>
      </c>
      <c r="P4" s="25">
        <f t="shared" ref="P4:P19" si="0">IF(AND(O4&gt;=1,$B4&gt;0),(O4-1)/$B4*1000000,0)</f>
        <v>0</v>
      </c>
      <c r="Q4" s="18"/>
      <c r="R4" s="18"/>
      <c r="T4" s="26">
        <v>500</v>
      </c>
      <c r="U4" s="27" t="s">
        <v>23</v>
      </c>
      <c r="V4" s="27" t="s">
        <v>24</v>
      </c>
      <c r="W4" s="27" t="s">
        <v>25</v>
      </c>
      <c r="X4" s="27" t="s">
        <v>25</v>
      </c>
      <c r="Y4" s="27" t="s">
        <v>26</v>
      </c>
    </row>
    <row r="5" spans="2:26">
      <c r="B5" s="18">
        <v>100</v>
      </c>
      <c r="C5" s="19">
        <v>1.0008999999999999</v>
      </c>
      <c r="D5" s="19">
        <f t="shared" ref="D5:D19" si="1">IF(AND(C5&gt;=1,$B5&gt;0),(C5-1)/$B5*1000000,0)</f>
        <v>8.9999999999990088</v>
      </c>
      <c r="E5" s="20">
        <v>1.0009999999999999</v>
      </c>
      <c r="F5" s="20">
        <f t="shared" ref="F5:F19" si="2">IF(AND(E5&gt;=1,$B5&gt;0),(E5-1)/$B5*1000000,0)</f>
        <v>9.9999999999988987</v>
      </c>
      <c r="G5" s="21">
        <v>1.0005999999999999</v>
      </c>
      <c r="H5" s="21">
        <f t="shared" ref="H5:H19" si="3">IF(AND(G5&gt;=1,$B5&gt;0),(G5-1)/$B5*1000000,0)</f>
        <v>5.9999999999993392</v>
      </c>
      <c r="I5" s="22">
        <v>1.0008999999999999</v>
      </c>
      <c r="J5" s="22">
        <f t="shared" ref="J5:J19" si="4">IF(AND(I5&gt;=1,$B5&gt;0),(I5-1)/$B5*1000000,0)</f>
        <v>8.9999999999990088</v>
      </c>
      <c r="K5" s="23">
        <v>1.0009999999999999</v>
      </c>
      <c r="L5" s="23">
        <f t="shared" ref="L5:L19" si="5">IF(AND(K5&gt;=1,$B5&gt;0),(K5-1)/$B5*1000000,0)</f>
        <v>9.9999999999988987</v>
      </c>
      <c r="M5" s="24">
        <v>1.0008999999999999</v>
      </c>
      <c r="N5" s="24">
        <f t="shared" ref="N5:N19" si="6">IF(AND(M5&gt;=1,$B5&gt;0),(M5-1)/$B5*1000000,0)</f>
        <v>8.9999999999990088</v>
      </c>
      <c r="O5" s="25">
        <v>1.0008999999999999</v>
      </c>
      <c r="P5" s="25">
        <f t="shared" si="0"/>
        <v>8.9999999999990088</v>
      </c>
      <c r="Q5" s="18"/>
      <c r="R5" s="18"/>
      <c r="T5" s="26">
        <v>1000</v>
      </c>
      <c r="U5" s="27" t="s">
        <v>27</v>
      </c>
      <c r="V5" s="27" t="s">
        <v>25</v>
      </c>
      <c r="W5" s="27" t="s">
        <v>28</v>
      </c>
      <c r="X5" s="27" t="s">
        <v>28</v>
      </c>
      <c r="Y5" s="27" t="s">
        <v>29</v>
      </c>
    </row>
    <row r="6" spans="2:26">
      <c r="B6" s="18">
        <v>200</v>
      </c>
      <c r="C6" s="19">
        <v>1.0018</v>
      </c>
      <c r="D6" s="19">
        <f t="shared" si="1"/>
        <v>9.000000000000119</v>
      </c>
      <c r="E6" s="20">
        <v>1.002</v>
      </c>
      <c r="F6" s="20">
        <f t="shared" si="2"/>
        <v>10.000000000000009</v>
      </c>
      <c r="G6" s="21">
        <v>1.0014000000000001</v>
      </c>
      <c r="H6" s="21">
        <f t="shared" si="3"/>
        <v>7.0000000000003393</v>
      </c>
      <c r="I6" s="22">
        <v>1.0017</v>
      </c>
      <c r="J6" s="22">
        <f t="shared" si="4"/>
        <v>8.5000000000001741</v>
      </c>
      <c r="K6" s="23">
        <v>1.0018</v>
      </c>
      <c r="L6" s="23">
        <f t="shared" si="5"/>
        <v>9.000000000000119</v>
      </c>
      <c r="M6" s="24">
        <v>1.0018</v>
      </c>
      <c r="N6" s="24">
        <f t="shared" si="6"/>
        <v>9.000000000000119</v>
      </c>
      <c r="O6" s="25">
        <v>1.0018</v>
      </c>
      <c r="P6" s="25">
        <f t="shared" si="0"/>
        <v>9.000000000000119</v>
      </c>
      <c r="Q6" s="18"/>
      <c r="R6" s="18"/>
      <c r="T6" s="26">
        <v>1200</v>
      </c>
      <c r="U6" s="27" t="s">
        <v>30</v>
      </c>
      <c r="V6" s="27" t="s">
        <v>28</v>
      </c>
      <c r="W6" s="27" t="s">
        <v>31</v>
      </c>
      <c r="X6" s="27" t="s">
        <v>32</v>
      </c>
      <c r="Y6" s="27" t="s">
        <v>33</v>
      </c>
    </row>
    <row r="7" spans="2:26" ht="16" thickBot="1">
      <c r="B7" s="18">
        <v>300</v>
      </c>
      <c r="C7" s="19">
        <v>1.0027999999999999</v>
      </c>
      <c r="D7" s="19">
        <f t="shared" si="1"/>
        <v>9.3333333333330462</v>
      </c>
      <c r="E7" s="20">
        <v>1.0029999999999999</v>
      </c>
      <c r="F7" s="20">
        <f t="shared" si="2"/>
        <v>9.9999999999996376</v>
      </c>
      <c r="G7" s="21">
        <v>1.0023</v>
      </c>
      <c r="H7" s="21">
        <f t="shared" si="3"/>
        <v>7.6666666666665622</v>
      </c>
      <c r="I7" s="22">
        <v>1.0026999999999999</v>
      </c>
      <c r="J7" s="22">
        <f t="shared" si="4"/>
        <v>8.9999999999997495</v>
      </c>
      <c r="K7" s="23">
        <v>1.0026999999999999</v>
      </c>
      <c r="L7" s="23">
        <f t="shared" si="5"/>
        <v>8.9999999999997495</v>
      </c>
      <c r="M7" s="24">
        <v>1.0027999999999999</v>
      </c>
      <c r="N7" s="24">
        <f t="shared" si="6"/>
        <v>9.3333333333330462</v>
      </c>
      <c r="O7" s="25">
        <v>1.0027999999999999</v>
      </c>
      <c r="P7" s="25">
        <f t="shared" si="0"/>
        <v>9.3333333333330462</v>
      </c>
      <c r="Q7" s="18"/>
      <c r="R7" s="18"/>
      <c r="T7" s="28">
        <v>1300</v>
      </c>
      <c r="U7" s="29" t="s">
        <v>30</v>
      </c>
      <c r="V7" s="29" t="s">
        <v>34</v>
      </c>
      <c r="W7" s="29" t="s">
        <v>35</v>
      </c>
      <c r="X7" s="29" t="s">
        <v>36</v>
      </c>
      <c r="Y7" s="29" t="s">
        <v>37</v>
      </c>
    </row>
    <row r="8" spans="2:26">
      <c r="B8" s="18">
        <v>400</v>
      </c>
      <c r="C8" s="19">
        <v>1.0038</v>
      </c>
      <c r="D8" s="19">
        <f t="shared" si="1"/>
        <v>9.5000000000000639</v>
      </c>
      <c r="E8" s="20">
        <v>1.0041</v>
      </c>
      <c r="F8" s="20">
        <f t="shared" si="2"/>
        <v>10.249999999999982</v>
      </c>
      <c r="G8" s="21">
        <v>1.0032000000000001</v>
      </c>
      <c r="H8" s="21">
        <f t="shared" si="3"/>
        <v>8.0000000000002292</v>
      </c>
      <c r="I8" s="22">
        <v>1.0035000000000001</v>
      </c>
      <c r="J8" s="22">
        <f t="shared" si="4"/>
        <v>8.7500000000001474</v>
      </c>
      <c r="K8" s="23">
        <v>1.0036</v>
      </c>
      <c r="L8" s="23">
        <f t="shared" si="5"/>
        <v>9.000000000000119</v>
      </c>
      <c r="M8" s="24">
        <v>1.0039</v>
      </c>
      <c r="N8" s="24">
        <f t="shared" si="6"/>
        <v>9.7500000000000373</v>
      </c>
      <c r="O8" s="25">
        <v>1.0038</v>
      </c>
      <c r="P8" s="25">
        <f t="shared" si="0"/>
        <v>9.5000000000000639</v>
      </c>
      <c r="Q8" s="18"/>
      <c r="R8" s="18"/>
    </row>
    <row r="9" spans="2:26">
      <c r="B9" s="18">
        <v>500</v>
      </c>
      <c r="C9" s="19">
        <v>1.0047999999999999</v>
      </c>
      <c r="D9" s="19">
        <f t="shared" si="1"/>
        <v>9.5999999999998309</v>
      </c>
      <c r="E9" s="20">
        <v>1.0051000000000001</v>
      </c>
      <c r="F9" s="20">
        <f t="shared" si="2"/>
        <v>10.200000000000209</v>
      </c>
      <c r="G9" s="21">
        <v>1.0043</v>
      </c>
      <c r="H9" s="21">
        <f t="shared" si="3"/>
        <v>8.599999999999941</v>
      </c>
      <c r="I9" s="22">
        <v>1.0044999999999999</v>
      </c>
      <c r="J9" s="22">
        <f t="shared" si="4"/>
        <v>8.999999999999897</v>
      </c>
      <c r="K9" s="23">
        <v>1.0044999999999999</v>
      </c>
      <c r="L9" s="23">
        <f t="shared" si="5"/>
        <v>8.999999999999897</v>
      </c>
      <c r="M9" s="24">
        <v>1.0048999999999999</v>
      </c>
      <c r="N9" s="24">
        <f t="shared" si="6"/>
        <v>9.7999999999998089</v>
      </c>
      <c r="O9" s="25">
        <v>1.0047999999999999</v>
      </c>
      <c r="P9" s="25">
        <f t="shared" si="0"/>
        <v>9.5999999999998309</v>
      </c>
      <c r="Q9" s="18">
        <v>9.5</v>
      </c>
      <c r="R9" s="18">
        <v>10.199999999999999</v>
      </c>
    </row>
    <row r="10" spans="2:26">
      <c r="B10" s="18">
        <v>600</v>
      </c>
      <c r="C10" s="19">
        <v>1.0058</v>
      </c>
      <c r="D10" s="19">
        <f t="shared" si="1"/>
        <v>9.6666666666667123</v>
      </c>
      <c r="E10" s="20">
        <v>1.0061</v>
      </c>
      <c r="F10" s="20">
        <f t="shared" si="2"/>
        <v>10.166666666666657</v>
      </c>
      <c r="G10" s="21">
        <v>1.0053000000000001</v>
      </c>
      <c r="H10" s="21">
        <f t="shared" si="3"/>
        <v>8.8333333333334707</v>
      </c>
      <c r="I10" s="22">
        <v>1.0054000000000001</v>
      </c>
      <c r="J10" s="22">
        <f t="shared" si="4"/>
        <v>9.000000000000119</v>
      </c>
      <c r="K10" s="23">
        <v>1.0054000000000001</v>
      </c>
      <c r="L10" s="23">
        <f t="shared" si="5"/>
        <v>9.000000000000119</v>
      </c>
      <c r="M10" s="24">
        <v>1.006</v>
      </c>
      <c r="N10" s="24">
        <f t="shared" si="6"/>
        <v>10.000000000000009</v>
      </c>
      <c r="O10" s="25">
        <v>1.0059</v>
      </c>
      <c r="P10" s="25">
        <f t="shared" si="0"/>
        <v>9.8333333333333606</v>
      </c>
      <c r="Q10" s="18"/>
      <c r="R10" s="18"/>
    </row>
    <row r="11" spans="2:26">
      <c r="B11" s="18">
        <v>700</v>
      </c>
      <c r="C11" s="19">
        <v>1.0068999999999999</v>
      </c>
      <c r="D11" s="19">
        <f t="shared" si="1"/>
        <v>9.8571428571427226</v>
      </c>
      <c r="E11" s="20">
        <v>1.0072000000000001</v>
      </c>
      <c r="F11" s="20">
        <f t="shared" si="2"/>
        <v>10.285714285714421</v>
      </c>
      <c r="G11" s="21">
        <v>1.0063</v>
      </c>
      <c r="H11" s="21">
        <f t="shared" si="3"/>
        <v>8.9999999999999591</v>
      </c>
      <c r="I11" s="22">
        <v>1.0064</v>
      </c>
      <c r="J11" s="22">
        <f t="shared" si="4"/>
        <v>9.1428571428570873</v>
      </c>
      <c r="K11" s="23">
        <v>1.0065</v>
      </c>
      <c r="L11" s="23">
        <f t="shared" si="5"/>
        <v>9.2857142857142154</v>
      </c>
      <c r="M11" s="24">
        <v>1.0071000000000001</v>
      </c>
      <c r="N11" s="24">
        <f t="shared" si="6"/>
        <v>10.142857142857295</v>
      </c>
      <c r="O11" s="25">
        <v>1.0069999999999999</v>
      </c>
      <c r="P11" s="25">
        <f t="shared" si="0"/>
        <v>9.9999999999998508</v>
      </c>
      <c r="Q11" s="18"/>
      <c r="R11" s="18"/>
    </row>
    <row r="12" spans="2:26" ht="16" thickBot="1">
      <c r="B12" s="18">
        <v>800</v>
      </c>
      <c r="C12" s="19">
        <v>1.0079</v>
      </c>
      <c r="D12" s="19">
        <f t="shared" si="1"/>
        <v>9.8750000000000231</v>
      </c>
      <c r="E12" s="20">
        <v>1.0083</v>
      </c>
      <c r="F12" s="20">
        <f t="shared" si="2"/>
        <v>10.374999999999968</v>
      </c>
      <c r="G12" s="21">
        <v>1.0075000000000001</v>
      </c>
      <c r="H12" s="21">
        <f t="shared" si="3"/>
        <v>9.3750000000000764</v>
      </c>
      <c r="I12" s="22">
        <v>1.0075000000000001</v>
      </c>
      <c r="J12" s="22">
        <f t="shared" si="4"/>
        <v>9.3750000000000764</v>
      </c>
      <c r="K12" s="23">
        <v>1.0076000000000001</v>
      </c>
      <c r="L12" s="23">
        <f t="shared" si="5"/>
        <v>9.5000000000000639</v>
      </c>
      <c r="M12" s="24">
        <v>1.0083</v>
      </c>
      <c r="N12" s="24">
        <f t="shared" si="6"/>
        <v>10.374999999999968</v>
      </c>
      <c r="O12" s="25">
        <v>1.0081</v>
      </c>
      <c r="P12" s="25">
        <f t="shared" si="0"/>
        <v>10.124999999999995</v>
      </c>
      <c r="Q12" s="18"/>
      <c r="R12" s="18"/>
    </row>
    <row r="13" spans="2:26" ht="16.5">
      <c r="B13" s="18">
        <v>900</v>
      </c>
      <c r="C13" s="19">
        <v>1.0091000000000001</v>
      </c>
      <c r="D13" s="19">
        <f t="shared" si="1"/>
        <v>10.111111111111232</v>
      </c>
      <c r="E13" s="20">
        <v>1.0094000000000001</v>
      </c>
      <c r="F13" s="20">
        <f t="shared" si="2"/>
        <v>10.444444444444528</v>
      </c>
      <c r="G13" s="21">
        <v>1.0086999999999999</v>
      </c>
      <c r="H13" s="21">
        <f t="shared" si="3"/>
        <v>9.6666666666665879</v>
      </c>
      <c r="I13" s="22">
        <v>1.0085</v>
      </c>
      <c r="J13" s="22">
        <f t="shared" si="4"/>
        <v>9.4444444444443896</v>
      </c>
      <c r="K13" s="23">
        <v>1.0086999999999999</v>
      </c>
      <c r="L13" s="23">
        <f t="shared" si="5"/>
        <v>9.6666666666665879</v>
      </c>
      <c r="M13" s="24">
        <v>1.0095000000000001</v>
      </c>
      <c r="N13" s="24">
        <f t="shared" si="6"/>
        <v>10.555555555555626</v>
      </c>
      <c r="O13" s="25">
        <v>1.0093000000000001</v>
      </c>
      <c r="P13" s="25">
        <f t="shared" si="0"/>
        <v>10.333333333333428</v>
      </c>
      <c r="Q13" s="18"/>
      <c r="R13" s="18"/>
      <c r="T13" s="30" t="s">
        <v>38</v>
      </c>
      <c r="U13" s="31" t="s">
        <v>39</v>
      </c>
      <c r="V13" s="32" t="s">
        <v>40</v>
      </c>
      <c r="W13" s="32"/>
      <c r="X13" s="32" t="s">
        <v>41</v>
      </c>
      <c r="Y13" s="32" t="s">
        <v>42</v>
      </c>
      <c r="Z13" s="33" t="s">
        <v>43</v>
      </c>
    </row>
    <row r="14" spans="2:26" ht="16" thickBot="1">
      <c r="B14" s="18">
        <v>1000</v>
      </c>
      <c r="C14" s="19">
        <v>1.0102</v>
      </c>
      <c r="D14" s="19">
        <f t="shared" si="1"/>
        <v>10.199999999999987</v>
      </c>
      <c r="E14" s="20">
        <v>1.0105999999999999</v>
      </c>
      <c r="F14" s="20">
        <f t="shared" si="2"/>
        <v>10.599999999999943</v>
      </c>
      <c r="G14" s="21">
        <v>1.0099</v>
      </c>
      <c r="H14" s="21">
        <f t="shared" si="3"/>
        <v>9.9000000000000199</v>
      </c>
      <c r="I14" s="22">
        <v>1.0097</v>
      </c>
      <c r="J14" s="22">
        <f t="shared" si="4"/>
        <v>9.7000000000000419</v>
      </c>
      <c r="K14" s="23">
        <v>1.01</v>
      </c>
      <c r="L14" s="23">
        <f t="shared" si="5"/>
        <v>10.000000000000009</v>
      </c>
      <c r="M14" s="24">
        <v>1.0107999999999999</v>
      </c>
      <c r="N14" s="24">
        <f t="shared" si="6"/>
        <v>10.799999999999921</v>
      </c>
      <c r="O14" s="25">
        <v>1.0105999999999999</v>
      </c>
      <c r="P14" s="25">
        <f t="shared" si="0"/>
        <v>10.599999999999943</v>
      </c>
      <c r="Q14" s="18">
        <v>10.199999999999999</v>
      </c>
      <c r="R14" s="18">
        <v>10.6</v>
      </c>
      <c r="T14" s="34"/>
      <c r="U14" s="35">
        <v>950</v>
      </c>
      <c r="V14" s="36">
        <v>780</v>
      </c>
      <c r="W14" s="36"/>
      <c r="X14" s="36">
        <f>0.0000000007798529*U14^3 - 0.000001636835*U14^2 + 0.002337597*U14 + 8.722923</f>
        <v>10.1350229426375</v>
      </c>
      <c r="Y14" s="36">
        <f>V14*(1+X14*0.000001*U14)</f>
        <v>787.5100520004944</v>
      </c>
      <c r="Z14" s="37">
        <f>Y14-V14</f>
        <v>7.5100520004943974</v>
      </c>
    </row>
    <row r="15" spans="2:26" ht="16" thickBot="1">
      <c r="B15" s="18">
        <v>1100</v>
      </c>
      <c r="C15" s="19">
        <v>0</v>
      </c>
      <c r="D15" s="19">
        <f t="shared" si="1"/>
        <v>0</v>
      </c>
      <c r="E15" s="20">
        <v>1.0117</v>
      </c>
      <c r="F15" s="20">
        <f t="shared" si="2"/>
        <v>10.636363636363676</v>
      </c>
      <c r="G15" s="21">
        <v>1.0112000000000001</v>
      </c>
      <c r="H15" s="21">
        <f t="shared" si="3"/>
        <v>10.181818181818272</v>
      </c>
      <c r="I15" s="22">
        <v>1.0108999999999999</v>
      </c>
      <c r="J15" s="22">
        <f t="shared" si="4"/>
        <v>9.9090909090908266</v>
      </c>
      <c r="K15" s="23">
        <v>1.0113000000000001</v>
      </c>
      <c r="L15" s="23">
        <f t="shared" si="5"/>
        <v>10.272727272727353</v>
      </c>
      <c r="M15" s="24">
        <v>1.0121</v>
      </c>
      <c r="N15" s="24">
        <f t="shared" si="6"/>
        <v>11</v>
      </c>
      <c r="O15" s="25">
        <v>1.0116000000000001</v>
      </c>
      <c r="P15" s="25">
        <f t="shared" si="0"/>
        <v>10.545454545454595</v>
      </c>
      <c r="Q15" s="18"/>
      <c r="R15" s="18"/>
      <c r="U15" s="35">
        <v>1150</v>
      </c>
      <c r="V15" s="36">
        <v>247.03621375674211</v>
      </c>
      <c r="W15" s="36"/>
      <c r="X15" s="36">
        <f>0.0000000007798529*U15^3 - 0.000001636835*U15^2 + 0.002337597*U15 + 8.722923</f>
        <v>10.432504041787499</v>
      </c>
      <c r="Y15" s="36">
        <f>V15*(1+X15*0.000001*U15)</f>
        <v>250.000001</v>
      </c>
      <c r="Z15" s="37">
        <f>Y15-V15</f>
        <v>2.9637872432578831</v>
      </c>
    </row>
    <row r="16" spans="2:26" ht="16" thickBot="1">
      <c r="B16" s="18">
        <v>1200</v>
      </c>
      <c r="C16" s="19">
        <v>0</v>
      </c>
      <c r="D16" s="19">
        <f t="shared" si="1"/>
        <v>0</v>
      </c>
      <c r="E16" s="20">
        <v>1.0130999999999999</v>
      </c>
      <c r="F16" s="20">
        <f t="shared" si="2"/>
        <v>10.916666666666575</v>
      </c>
      <c r="G16" s="21">
        <v>1.0125</v>
      </c>
      <c r="H16" s="21">
        <f t="shared" si="3"/>
        <v>10.416666666666629</v>
      </c>
      <c r="I16" s="22">
        <v>1.0121</v>
      </c>
      <c r="J16" s="22">
        <f t="shared" si="4"/>
        <v>10.083333333333332</v>
      </c>
      <c r="K16" s="23">
        <v>1.0127999999999999</v>
      </c>
      <c r="L16" s="23">
        <f t="shared" si="5"/>
        <v>10.666666666666602</v>
      </c>
      <c r="M16" s="24">
        <v>1.0135000000000001</v>
      </c>
      <c r="N16" s="24">
        <f t="shared" si="6"/>
        <v>11.250000000000057</v>
      </c>
      <c r="O16" s="25">
        <v>1.0125</v>
      </c>
      <c r="P16" s="25">
        <f t="shared" si="0"/>
        <v>10.416666666666629</v>
      </c>
      <c r="Q16" s="18">
        <v>10.6</v>
      </c>
      <c r="R16" s="18">
        <v>11</v>
      </c>
      <c r="U16" s="35">
        <v>1150</v>
      </c>
      <c r="V16" s="36">
        <v>492.5</v>
      </c>
      <c r="W16" s="36">
        <f>V16+0.7*2</f>
        <v>493.9</v>
      </c>
      <c r="X16" s="36">
        <f>0.0000000007798529*U16^3 - 0.000001636835*U16^2 + 0.002337597*U16 + 8.722923</f>
        <v>10.432504041787499</v>
      </c>
      <c r="Y16" s="36">
        <f>V16*(1+X16*0.000001*U16)</f>
        <v>498.40870947666741</v>
      </c>
      <c r="Z16" s="37">
        <f>Y16-V16</f>
        <v>5.9087094766674113</v>
      </c>
    </row>
    <row r="17" spans="2:18">
      <c r="B17" s="18">
        <v>1300</v>
      </c>
      <c r="C17" s="19">
        <v>0</v>
      </c>
      <c r="D17" s="19">
        <f t="shared" si="1"/>
        <v>0</v>
      </c>
      <c r="E17" s="20">
        <v>1.0144</v>
      </c>
      <c r="F17" s="20">
        <f t="shared" si="2"/>
        <v>11.076923076923054</v>
      </c>
      <c r="G17" s="21">
        <v>1.0138</v>
      </c>
      <c r="H17" s="21">
        <f t="shared" si="3"/>
        <v>10.615384615384642</v>
      </c>
      <c r="I17" s="22">
        <v>1.0135000000000001</v>
      </c>
      <c r="J17" s="22">
        <f t="shared" si="4"/>
        <v>10.384615384615437</v>
      </c>
      <c r="K17" s="23">
        <v>1.0145999999999999</v>
      </c>
      <c r="L17" s="23">
        <f t="shared" si="5"/>
        <v>11.230769230769189</v>
      </c>
      <c r="M17" s="24">
        <v>1.0149999999999999</v>
      </c>
      <c r="N17" s="24">
        <f t="shared" si="6"/>
        <v>11.538461538461464</v>
      </c>
      <c r="O17" s="25">
        <v>1.0135000000000001</v>
      </c>
      <c r="P17" s="25">
        <f t="shared" si="0"/>
        <v>10.384615384615437</v>
      </c>
      <c r="Q17" s="18">
        <v>10.7</v>
      </c>
      <c r="R17" s="18">
        <v>11.2</v>
      </c>
    </row>
    <row r="18" spans="2:18">
      <c r="B18" s="18">
        <v>1400</v>
      </c>
      <c r="C18" s="19">
        <v>0</v>
      </c>
      <c r="D18" s="19">
        <f t="shared" si="1"/>
        <v>0</v>
      </c>
      <c r="E18" s="20">
        <v>1.0158</v>
      </c>
      <c r="F18" s="20">
        <f t="shared" si="2"/>
        <v>11.285714285714311</v>
      </c>
      <c r="G18" s="21">
        <v>1.0152</v>
      </c>
      <c r="H18" s="21">
        <f t="shared" si="3"/>
        <v>10.85714285714293</v>
      </c>
      <c r="I18" s="22">
        <v>1.0148999999999999</v>
      </c>
      <c r="J18" s="22">
        <f t="shared" si="4"/>
        <v>10.64285714285708</v>
      </c>
      <c r="K18" s="23">
        <v>1.0164</v>
      </c>
      <c r="L18" s="23">
        <f t="shared" si="5"/>
        <v>11.714285714285692</v>
      </c>
      <c r="M18" s="24">
        <v>1.0165</v>
      </c>
      <c r="N18" s="24">
        <f t="shared" si="6"/>
        <v>11.785714285714256</v>
      </c>
      <c r="O18" s="25">
        <v>0</v>
      </c>
      <c r="P18" s="25">
        <f t="shared" si="0"/>
        <v>0</v>
      </c>
      <c r="Q18" s="18"/>
      <c r="R18" s="18"/>
    </row>
    <row r="19" spans="2:18">
      <c r="B19" s="18">
        <v>1500</v>
      </c>
      <c r="C19" s="19">
        <v>0</v>
      </c>
      <c r="D19" s="19">
        <f t="shared" si="1"/>
        <v>0</v>
      </c>
      <c r="E19" s="20">
        <v>1.0176000000000001</v>
      </c>
      <c r="F19" s="20">
        <f t="shared" si="2"/>
        <v>11.733333333333373</v>
      </c>
      <c r="G19" s="21">
        <v>1.0166999999999999</v>
      </c>
      <c r="H19" s="21">
        <f t="shared" si="3"/>
        <v>11.133333333333292</v>
      </c>
      <c r="I19" s="22">
        <v>1.0165</v>
      </c>
      <c r="J19" s="22">
        <f t="shared" si="4"/>
        <v>10.999999999999973</v>
      </c>
      <c r="K19" s="23">
        <v>1.0184</v>
      </c>
      <c r="L19" s="23">
        <f t="shared" si="5"/>
        <v>12.266666666666648</v>
      </c>
      <c r="M19" s="24">
        <v>1.0181</v>
      </c>
      <c r="N19" s="24">
        <f t="shared" si="6"/>
        <v>12.06666666666667</v>
      </c>
      <c r="O19" s="25">
        <v>0</v>
      </c>
      <c r="P19" s="25">
        <f t="shared" si="0"/>
        <v>0</v>
      </c>
      <c r="Q19" s="18"/>
      <c r="R19" s="18"/>
    </row>
    <row r="44" spans="11:12">
      <c r="K44" s="38"/>
      <c r="L44" s="38"/>
    </row>
  </sheetData>
  <mergeCells count="3">
    <mergeCell ref="B2:R2"/>
    <mergeCell ref="T2:Y2"/>
    <mergeCell ref="T13:T14"/>
  </mergeCells>
  <phoneticPr fontId="4" type="noConversion"/>
  <conditionalFormatting sqref="B4:B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:R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20</xdr:col>
                <xdr:colOff>12700</xdr:colOff>
                <xdr:row>8</xdr:row>
                <xdr:rowOff>12700</xdr:rowOff>
              </from>
              <to>
                <xdr:col>21</xdr:col>
                <xdr:colOff>317500</xdr:colOff>
                <xdr:row>11</xdr:row>
                <xdr:rowOff>127000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2597-473F-446C-89F9-C65973D7C9AF}">
  <dimension ref="A1"/>
  <sheetViews>
    <sheetView workbookViewId="0"/>
  </sheetViews>
  <sheetFormatPr defaultRowHeight="14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鉑金热膨胀计算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Lu</dc:creator>
  <cp:lastModifiedBy>Steven Lu</cp:lastModifiedBy>
  <dcterms:created xsi:type="dcterms:W3CDTF">2026-09-15T04:31:21Z</dcterms:created>
  <dcterms:modified xsi:type="dcterms:W3CDTF">2026-09-15T04:32:50Z</dcterms:modified>
</cp:coreProperties>
</file>