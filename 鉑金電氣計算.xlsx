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inForm\Pt_Optimize\"/>
    </mc:Choice>
  </mc:AlternateContent>
  <xr:revisionPtr revIDLastSave="0" documentId="8_{67C9E5B0-6627-40D0-B0CE-55A77FD8CBCF}" xr6:coauthVersionLast="47" xr6:coauthVersionMax="47" xr10:uidLastSave="{00000000-0000-0000-0000-000000000000}"/>
  <bookViews>
    <workbookView xWindow="3300" yWindow="2330" windowWidth="34390" windowHeight="18070" xr2:uid="{6BB8B29A-0798-4266-A7E8-89DEB184A868}"/>
  </bookViews>
  <sheets>
    <sheet name="鉑金電氣計算" sheetId="2" r:id="rId1"/>
  </sheets>
  <definedNames>
    <definedName name="_xlnm.Print_Area" localSheetId="0">鉑金電氣計算!#REF!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44" i="2" l="1"/>
  <c r="M43" i="2"/>
  <c r="L43" i="2"/>
  <c r="K43" i="2"/>
  <c r="J43" i="2"/>
  <c r="I43" i="2"/>
  <c r="H43" i="2"/>
  <c r="G43" i="2"/>
  <c r="R42" i="2"/>
  <c r="R43" i="2" s="1"/>
  <c r="Q42" i="2"/>
  <c r="Q43" i="2" s="1"/>
  <c r="P42" i="2"/>
  <c r="P43" i="2" s="1"/>
  <c r="O42" i="2"/>
  <c r="O43" i="2" s="1"/>
  <c r="N42" i="2"/>
  <c r="N43" i="2" s="1"/>
  <c r="M42" i="2"/>
  <c r="L42" i="2"/>
  <c r="K42" i="2"/>
  <c r="J42" i="2"/>
  <c r="I42" i="2"/>
  <c r="H42" i="2"/>
  <c r="G42" i="2"/>
  <c r="Z41" i="2"/>
  <c r="R40" i="2"/>
  <c r="Q40" i="2"/>
  <c r="P40" i="2"/>
  <c r="O40" i="2"/>
  <c r="N40" i="2"/>
  <c r="M40" i="2"/>
  <c r="L40" i="2"/>
  <c r="K40" i="2"/>
  <c r="J40" i="2"/>
  <c r="I40" i="2"/>
  <c r="H40" i="2"/>
  <c r="R39" i="2"/>
  <c r="Q39" i="2"/>
  <c r="P39" i="2"/>
  <c r="O39" i="2"/>
  <c r="N39" i="2"/>
  <c r="M39" i="2"/>
  <c r="L39" i="2"/>
  <c r="K39" i="2"/>
  <c r="J39" i="2"/>
  <c r="I39" i="2"/>
  <c r="H39" i="2"/>
  <c r="G39" i="2"/>
  <c r="G40" i="2" s="1"/>
  <c r="Y40" i="2" s="1"/>
  <c r="Z38" i="2"/>
  <c r="W37" i="2"/>
  <c r="V37" i="2"/>
  <c r="U37" i="2"/>
  <c r="N37" i="2"/>
  <c r="M37" i="2"/>
  <c r="L37" i="2"/>
  <c r="K37" i="2"/>
  <c r="J37" i="2"/>
  <c r="I37" i="2"/>
  <c r="H37" i="2"/>
  <c r="W36" i="2"/>
  <c r="V36" i="2"/>
  <c r="U36" i="2"/>
  <c r="T36" i="2"/>
  <c r="T37" i="2" s="1"/>
  <c r="S36" i="2"/>
  <c r="S37" i="2" s="1"/>
  <c r="R36" i="2"/>
  <c r="R37" i="2" s="1"/>
  <c r="Q36" i="2"/>
  <c r="Q37" i="2" s="1"/>
  <c r="P36" i="2"/>
  <c r="P37" i="2" s="1"/>
  <c r="O36" i="2"/>
  <c r="O37" i="2" s="1"/>
  <c r="N36" i="2"/>
  <c r="M36" i="2"/>
  <c r="L36" i="2"/>
  <c r="K36" i="2"/>
  <c r="J36" i="2"/>
  <c r="I36" i="2"/>
  <c r="H36" i="2"/>
  <c r="G36" i="2"/>
  <c r="G37" i="2" s="1"/>
  <c r="Z35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W33" i="2"/>
  <c r="V33" i="2"/>
  <c r="U33" i="2"/>
  <c r="T33" i="2"/>
  <c r="R33" i="2"/>
  <c r="H33" i="2"/>
  <c r="H34" i="2" s="1"/>
  <c r="Y34" i="2" s="1"/>
  <c r="Z32" i="2"/>
  <c r="W31" i="2"/>
  <c r="V31" i="2"/>
  <c r="U31" i="2"/>
  <c r="N31" i="2"/>
  <c r="M31" i="2"/>
  <c r="L31" i="2"/>
  <c r="K31" i="2"/>
  <c r="J31" i="2"/>
  <c r="I31" i="2"/>
  <c r="H31" i="2"/>
  <c r="W30" i="2"/>
  <c r="V30" i="2"/>
  <c r="U30" i="2"/>
  <c r="T30" i="2"/>
  <c r="T31" i="2" s="1"/>
  <c r="S30" i="2"/>
  <c r="S31" i="2" s="1"/>
  <c r="R30" i="2"/>
  <c r="R31" i="2" s="1"/>
  <c r="Q30" i="2"/>
  <c r="Q31" i="2" s="1"/>
  <c r="P30" i="2"/>
  <c r="P31" i="2" s="1"/>
  <c r="O30" i="2"/>
  <c r="O31" i="2" s="1"/>
  <c r="N30" i="2"/>
  <c r="M30" i="2"/>
  <c r="L30" i="2"/>
  <c r="K30" i="2"/>
  <c r="J30" i="2"/>
  <c r="I30" i="2"/>
  <c r="H30" i="2"/>
  <c r="G30" i="2"/>
  <c r="G31" i="2" s="1"/>
  <c r="Z29" i="2"/>
  <c r="W28" i="2"/>
  <c r="V28" i="2"/>
  <c r="T28" i="2"/>
  <c r="S28" i="2"/>
  <c r="R28" i="2"/>
  <c r="Q28" i="2"/>
  <c r="J28" i="2"/>
  <c r="I28" i="2"/>
  <c r="H28" i="2"/>
  <c r="G28" i="2"/>
  <c r="W27" i="2"/>
  <c r="V27" i="2"/>
  <c r="U27" i="2"/>
  <c r="U28" i="2" s="1"/>
  <c r="T27" i="2"/>
  <c r="S27" i="2"/>
  <c r="R27" i="2"/>
  <c r="Q27" i="2"/>
  <c r="P27" i="2"/>
  <c r="P28" i="2" s="1"/>
  <c r="O27" i="2"/>
  <c r="O28" i="2" s="1"/>
  <c r="N27" i="2"/>
  <c r="N28" i="2" s="1"/>
  <c r="M27" i="2"/>
  <c r="M28" i="2" s="1"/>
  <c r="L27" i="2"/>
  <c r="L28" i="2" s="1"/>
  <c r="K27" i="2"/>
  <c r="K28" i="2" s="1"/>
  <c r="J27" i="2"/>
  <c r="I27" i="2"/>
  <c r="H27" i="2"/>
  <c r="G27" i="2"/>
  <c r="Z26" i="2"/>
  <c r="W25" i="2"/>
  <c r="V25" i="2"/>
  <c r="U25" i="2"/>
  <c r="T25" i="2"/>
  <c r="R25" i="2"/>
  <c r="P25" i="2"/>
  <c r="O25" i="2"/>
  <c r="N25" i="2"/>
  <c r="M25" i="2"/>
  <c r="W24" i="2"/>
  <c r="V24" i="2"/>
  <c r="U24" i="2"/>
  <c r="T24" i="2"/>
  <c r="S24" i="2"/>
  <c r="S25" i="2" s="1"/>
  <c r="R24" i="2"/>
  <c r="Q24" i="2"/>
  <c r="Q25" i="2" s="1"/>
  <c r="P24" i="2"/>
  <c r="O24" i="2"/>
  <c r="N24" i="2"/>
  <c r="M24" i="2"/>
  <c r="L24" i="2"/>
  <c r="L25" i="2" s="1"/>
  <c r="K24" i="2"/>
  <c r="K25" i="2" s="1"/>
  <c r="J24" i="2"/>
  <c r="J25" i="2" s="1"/>
  <c r="I24" i="2"/>
  <c r="I25" i="2" s="1"/>
  <c r="H24" i="2"/>
  <c r="H25" i="2" s="1"/>
  <c r="G24" i="2"/>
  <c r="G25" i="2" s="1"/>
  <c r="Z23" i="2"/>
  <c r="N15" i="2"/>
  <c r="O15" i="2" s="1"/>
  <c r="G15" i="2"/>
  <c r="F15" i="2"/>
  <c r="E15" i="2"/>
  <c r="D15" i="2"/>
  <c r="G14" i="2"/>
  <c r="F14" i="2"/>
  <c r="E14" i="2"/>
  <c r="D14" i="2"/>
  <c r="R13" i="2"/>
  <c r="O13" i="2"/>
  <c r="N13" i="2"/>
  <c r="J13" i="2"/>
  <c r="G13" i="2"/>
  <c r="F13" i="2"/>
  <c r="I13" i="2" s="1"/>
  <c r="E13" i="2"/>
  <c r="D13" i="2"/>
  <c r="N11" i="2"/>
  <c r="O11" i="2" s="1"/>
  <c r="G11" i="2"/>
  <c r="I11" i="2" s="1"/>
  <c r="Q11" i="2" s="1"/>
  <c r="F11" i="2"/>
  <c r="E11" i="2"/>
  <c r="D11" i="2"/>
  <c r="N10" i="2"/>
  <c r="O10" i="2" s="1"/>
  <c r="G10" i="2"/>
  <c r="F10" i="2"/>
  <c r="E10" i="2"/>
  <c r="D10" i="2"/>
  <c r="R9" i="2"/>
  <c r="N9" i="2"/>
  <c r="J9" i="2"/>
  <c r="O9" i="2" s="1"/>
  <c r="G9" i="2"/>
  <c r="F9" i="2"/>
  <c r="E9" i="2"/>
  <c r="D9" i="2"/>
  <c r="O7" i="2"/>
  <c r="G7" i="2"/>
  <c r="I7" i="2" s="1"/>
  <c r="Q7" i="2" s="1"/>
  <c r="F7" i="2"/>
  <c r="E7" i="2"/>
  <c r="D7" i="2"/>
  <c r="O6" i="2"/>
  <c r="P6" i="2" s="1"/>
  <c r="G6" i="2"/>
  <c r="F6" i="2"/>
  <c r="E6" i="2"/>
  <c r="D6" i="2"/>
  <c r="S5" i="2"/>
  <c r="R6" i="2" s="1"/>
  <c r="P5" i="2"/>
  <c r="O5" i="2"/>
  <c r="G5" i="2"/>
  <c r="F5" i="2"/>
  <c r="E5" i="2"/>
  <c r="D5" i="2"/>
  <c r="I5" i="2" l="1"/>
  <c r="Q5" i="2" s="1"/>
  <c r="U5" i="2" s="1"/>
  <c r="V5" i="2" s="1"/>
  <c r="I14" i="2"/>
  <c r="I10" i="2"/>
  <c r="Q10" i="2" s="1"/>
  <c r="I9" i="2"/>
  <c r="Q9" i="2" s="1"/>
  <c r="Q13" i="2"/>
  <c r="I6" i="2"/>
  <c r="Q6" i="2" s="1"/>
  <c r="I15" i="2"/>
  <c r="Q15" i="2" s="1"/>
  <c r="P15" i="2"/>
  <c r="P11" i="2"/>
  <c r="Y25" i="2"/>
  <c r="Y28" i="2"/>
  <c r="U13" i="2"/>
  <c r="S9" i="2"/>
  <c r="P9" i="2"/>
  <c r="S7" i="2"/>
  <c r="U7" i="2" s="1"/>
  <c r="V7" i="2" s="1"/>
  <c r="Y43" i="2"/>
  <c r="U6" i="2"/>
  <c r="V6" i="2" s="1"/>
  <c r="P10" i="2"/>
  <c r="Y31" i="2"/>
  <c r="Y37" i="2"/>
  <c r="P7" i="2"/>
  <c r="P13" i="2"/>
  <c r="S13" i="2"/>
  <c r="S6" i="2"/>
  <c r="N14" i="2"/>
  <c r="O14" i="2" s="1"/>
  <c r="R7" i="2"/>
  <c r="R15" i="2" l="1"/>
  <c r="S15" i="2" s="1"/>
  <c r="T11" i="2"/>
  <c r="R11" i="2" s="1"/>
  <c r="S11" i="2" s="1"/>
  <c r="U11" i="2" s="1"/>
  <c r="V11" i="2" s="1"/>
  <c r="T10" i="2"/>
  <c r="R10" i="2" s="1"/>
  <c r="S10" i="2" s="1"/>
  <c r="U10" i="2" s="1"/>
  <c r="V10" i="2" s="1"/>
  <c r="V13" i="2"/>
  <c r="P14" i="2"/>
  <c r="U8" i="2"/>
  <c r="V8" i="2"/>
  <c r="R14" i="2"/>
  <c r="S14" i="2" s="1"/>
  <c r="U9" i="2"/>
  <c r="U15" i="2"/>
  <c r="V15" i="2" s="1"/>
  <c r="Q14" i="2"/>
  <c r="U14" i="2" l="1"/>
  <c r="U12" i="2"/>
  <c r="V9" i="2"/>
  <c r="V12" i="2" s="1"/>
  <c r="V14" i="2" l="1"/>
  <c r="V16" i="2" s="1"/>
  <c r="W16" i="2" s="1"/>
  <c r="U16" i="2"/>
</calcChain>
</file>

<file path=xl/sharedStrings.xml><?xml version="1.0" encoding="utf-8"?>
<sst xmlns="http://schemas.openxmlformats.org/spreadsheetml/2006/main" count="123" uniqueCount="88">
  <si>
    <r>
      <rPr>
        <sz val="12"/>
        <color rgb="FFFF0000"/>
        <rFont val="微軟正黑體"/>
        <family val="2"/>
        <charset val="136"/>
      </rPr>
      <t>紅色標題</t>
    </r>
    <r>
      <rPr>
        <sz val="12"/>
        <color theme="1"/>
        <rFont val="微軟正黑體"/>
        <family val="2"/>
        <charset val="136"/>
      </rPr>
      <t>為可改變或輸入欄</t>
    </r>
    <phoneticPr fontId="5" type="noConversion"/>
  </si>
  <si>
    <t>鉑金合金
材料種類</t>
    <phoneticPr fontId="10" type="noConversion"/>
  </si>
  <si>
    <t>電阻率係數值</t>
    <phoneticPr fontId="10" type="noConversion"/>
  </si>
  <si>
    <t>設計操作溫度</t>
    <phoneticPr fontId="10" type="noConversion"/>
  </si>
  <si>
    <t>導體電阻率</t>
    <phoneticPr fontId="10" type="noConversion"/>
  </si>
  <si>
    <t>(鉑金)
管內直徑</t>
    <phoneticPr fontId="10" type="noConversion"/>
  </si>
  <si>
    <t>導電長度</t>
    <phoneticPr fontId="10" type="noConversion"/>
  </si>
  <si>
    <t>鉑金管厚度</t>
    <phoneticPr fontId="10" type="noConversion"/>
  </si>
  <si>
    <t>電氣導體橫截面積</t>
    <phoneticPr fontId="10" type="noConversion"/>
  </si>
  <si>
    <t>導體電阻</t>
    <phoneticPr fontId="10" type="noConversion"/>
  </si>
  <si>
    <t>電流密度</t>
    <phoneticPr fontId="10" type="noConversion"/>
  </si>
  <si>
    <t>電流</t>
    <phoneticPr fontId="10" type="noConversion"/>
  </si>
  <si>
    <t>電壓</t>
    <phoneticPr fontId="10" type="noConversion"/>
  </si>
  <si>
    <t>一次側功率</t>
    <phoneticPr fontId="10" type="noConversion"/>
  </si>
  <si>
    <t>α</t>
    <phoneticPr fontId="5" type="noConversion"/>
  </si>
  <si>
    <t>β</t>
  </si>
  <si>
    <r>
      <rPr>
        <b/>
        <sz val="10"/>
        <rFont val="新細明體"/>
        <family val="1"/>
        <charset val="136"/>
      </rPr>
      <t>ρ</t>
    </r>
    <r>
      <rPr>
        <b/>
        <vertAlign val="subscript"/>
        <sz val="10"/>
        <rFont val="Arial"/>
        <family val="2"/>
      </rPr>
      <t>0</t>
    </r>
    <phoneticPr fontId="10" type="noConversion"/>
  </si>
  <si>
    <r>
      <t>T</t>
    </r>
    <r>
      <rPr>
        <b/>
        <vertAlign val="subscript"/>
        <sz val="10"/>
        <rFont val="Arial"/>
        <family val="2"/>
      </rPr>
      <t>0</t>
    </r>
    <phoneticPr fontId="10" type="noConversion"/>
  </si>
  <si>
    <t xml:space="preserve"> T [ °C ]</t>
  </si>
  <si>
    <t>ρ [ μΩcm²/cm ]</t>
  </si>
  <si>
    <t>D [ mm ]</t>
  </si>
  <si>
    <t>L [ mm ]</t>
  </si>
  <si>
    <t>t [ mm ]</t>
  </si>
  <si>
    <r>
      <t>A [ mm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]</t>
    </r>
    <phoneticPr fontId="5" type="noConversion"/>
  </si>
  <si>
    <t>S-F</t>
    <phoneticPr fontId="5" type="noConversion"/>
  </si>
  <si>
    <t>R [ μΩ ]</t>
  </si>
  <si>
    <t>J [ A / mm² ]</t>
  </si>
  <si>
    <t>I [ A ]</t>
  </si>
  <si>
    <t>U [ V ]</t>
  </si>
  <si>
    <t>P [ kW ]</t>
  </si>
  <si>
    <t>HC1</t>
    <phoneticPr fontId="5" type="noConversion"/>
  </si>
  <si>
    <r>
      <rPr>
        <sz val="10"/>
        <rFont val="宋体"/>
        <family val="3"/>
        <charset val="134"/>
      </rPr>
      <t>铂</t>
    </r>
    <r>
      <rPr>
        <sz val="10"/>
        <rFont val="微軟正黑體"/>
        <family val="2"/>
        <charset val="136"/>
      </rPr>
      <t>金水平分配上板</t>
    </r>
    <r>
      <rPr>
        <sz val="10"/>
        <rFont val="宋体"/>
        <family val="3"/>
        <charset val="134"/>
      </rPr>
      <t>-1</t>
    </r>
    <phoneticPr fontId="5" type="noConversion"/>
  </si>
  <si>
    <t>Pt</t>
  </si>
  <si>
    <t>鉑金法藍-1</t>
  </si>
  <si>
    <t>鉑金法藍-2</t>
    <phoneticPr fontId="5" type="noConversion"/>
  </si>
  <si>
    <t>HC2</t>
    <phoneticPr fontId="5" type="noConversion"/>
  </si>
  <si>
    <t>铂金水平分配上板-2</t>
    <phoneticPr fontId="5" type="noConversion"/>
  </si>
  <si>
    <t>鉑金法藍-2</t>
    <phoneticPr fontId="22" type="noConversion"/>
  </si>
  <si>
    <t>鉑金法藍-3</t>
    <phoneticPr fontId="5" type="noConversion"/>
  </si>
  <si>
    <t>HC3</t>
    <phoneticPr fontId="5" type="noConversion"/>
  </si>
  <si>
    <t>铂金水平分配上板-3</t>
    <phoneticPr fontId="5" type="noConversion"/>
  </si>
  <si>
    <t>鉑金法藍-3</t>
    <phoneticPr fontId="22" type="noConversion"/>
  </si>
  <si>
    <t>鉑金法藍-4</t>
    <phoneticPr fontId="5" type="noConversion"/>
  </si>
  <si>
    <r>
      <rPr>
        <sz val="10"/>
        <rFont val="微軟正黑體"/>
        <family val="2"/>
        <charset val="136"/>
      </rPr>
      <t>名稱</t>
    </r>
    <phoneticPr fontId="10" type="noConversion"/>
  </si>
  <si>
    <r>
      <rPr>
        <sz val="10"/>
        <rFont val="微軟正黑體"/>
        <family val="2"/>
        <charset val="136"/>
      </rPr>
      <t>符號</t>
    </r>
    <phoneticPr fontId="10" type="noConversion"/>
  </si>
  <si>
    <r>
      <rPr>
        <sz val="10"/>
        <rFont val="微軟正黑體"/>
        <family val="2"/>
        <charset val="136"/>
      </rPr>
      <t>單位</t>
    </r>
    <phoneticPr fontId="10" type="noConversion"/>
  </si>
  <si>
    <t>材料種類</t>
    <phoneticPr fontId="10" type="noConversion"/>
  </si>
  <si>
    <r>
      <rPr>
        <b/>
        <sz val="18"/>
        <color theme="1"/>
        <rFont val="微軟正黑體"/>
        <family val="2"/>
        <charset val="136"/>
      </rPr>
      <t>在不同溫度</t>
    </r>
    <r>
      <rPr>
        <b/>
        <sz val="18"/>
        <color theme="1"/>
        <rFont val="Arial"/>
        <family val="2"/>
      </rPr>
      <t xml:space="preserve">[T,°C] </t>
    </r>
    <r>
      <rPr>
        <b/>
        <sz val="18"/>
        <color theme="1"/>
        <rFont val="微軟正黑體"/>
        <family val="2"/>
        <charset val="136"/>
      </rPr>
      <t>下的電阻率</t>
    </r>
    <r>
      <rPr>
        <b/>
        <sz val="18"/>
        <color theme="1"/>
        <rFont val="Arial"/>
        <family val="2"/>
      </rPr>
      <t xml:space="preserve"> [ρ,μΩcm²/cm]</t>
    </r>
    <phoneticPr fontId="10" type="noConversion"/>
  </si>
  <si>
    <t>ρ</t>
  </si>
  <si>
    <t>[V]</t>
    <phoneticPr fontId="10" type="noConversion"/>
  </si>
  <si>
    <r>
      <rPr>
        <b/>
        <sz val="12"/>
        <color theme="1"/>
        <rFont val="微軟正黑體"/>
        <family val="2"/>
        <charset val="136"/>
      </rPr>
      <t>溫度</t>
    </r>
    <r>
      <rPr>
        <b/>
        <sz val="12"/>
        <color theme="1"/>
        <rFont val="Arial"/>
        <family val="2"/>
      </rPr>
      <t>T,°C</t>
    </r>
    <phoneticPr fontId="10" type="noConversion"/>
  </si>
  <si>
    <t>電氣導線橫截面積</t>
    <phoneticPr fontId="10" type="noConversion"/>
  </si>
  <si>
    <t>A</t>
  </si>
  <si>
    <r>
      <t>[mm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]</t>
    </r>
    <phoneticPr fontId="10" type="noConversion"/>
  </si>
  <si>
    <t>α</t>
    <phoneticPr fontId="10" type="noConversion"/>
  </si>
  <si>
    <t>β</t>
    <phoneticPr fontId="10" type="noConversion"/>
  </si>
  <si>
    <r>
      <rPr>
        <sz val="10"/>
        <rFont val="新細明體"/>
        <family val="1"/>
        <charset val="136"/>
      </rPr>
      <t>ρ</t>
    </r>
    <r>
      <rPr>
        <vertAlign val="subscript"/>
        <sz val="10"/>
        <rFont val="Arial"/>
        <family val="2"/>
      </rPr>
      <t>0</t>
    </r>
    <phoneticPr fontId="10" type="noConversion"/>
  </si>
  <si>
    <r>
      <t>T</t>
    </r>
    <r>
      <rPr>
        <vertAlign val="subscript"/>
        <sz val="10"/>
        <rFont val="Arial"/>
        <family val="2"/>
      </rPr>
      <t>0</t>
    </r>
    <phoneticPr fontId="10" type="noConversion"/>
  </si>
  <si>
    <r>
      <rPr>
        <sz val="10"/>
        <rFont val="微軟正黑體"/>
        <family val="2"/>
        <charset val="136"/>
      </rPr>
      <t>導電長度</t>
    </r>
  </si>
  <si>
    <t>L</t>
  </si>
  <si>
    <t>[mm]</t>
    <phoneticPr fontId="10" type="noConversion"/>
  </si>
  <si>
    <t>Pt</t>
    <phoneticPr fontId="10" type="noConversion"/>
  </si>
  <si>
    <r>
      <rPr>
        <b/>
        <sz val="10"/>
        <color theme="1"/>
        <rFont val="微軟正黑體"/>
        <family val="2"/>
        <charset val="136"/>
      </rPr>
      <t>測試值</t>
    </r>
    <phoneticPr fontId="10" type="noConversion"/>
  </si>
  <si>
    <t>J</t>
  </si>
  <si>
    <t>[Ampere/mm²]</t>
    <phoneticPr fontId="10" type="noConversion"/>
  </si>
  <si>
    <r>
      <rPr>
        <b/>
        <sz val="10"/>
        <color theme="1"/>
        <rFont val="微軟正黑體"/>
        <family val="2"/>
        <charset val="136"/>
      </rPr>
      <t>計算值</t>
    </r>
    <phoneticPr fontId="10" type="noConversion"/>
  </si>
  <si>
    <r>
      <rPr>
        <sz val="10"/>
        <rFont val="微軟正黑體"/>
        <family val="2"/>
        <charset val="136"/>
      </rPr>
      <t>電阻</t>
    </r>
  </si>
  <si>
    <t>R</t>
  </si>
  <si>
    <t>[Ω.cm² / cm]</t>
    <phoneticPr fontId="10" type="noConversion"/>
  </si>
  <si>
    <r>
      <rPr>
        <b/>
        <sz val="10"/>
        <color theme="1"/>
        <rFont val="微軟正黑體"/>
        <family val="2"/>
        <charset val="136"/>
      </rPr>
      <t>平方差</t>
    </r>
    <r>
      <rPr>
        <b/>
        <sz val="10"/>
        <color theme="1"/>
        <rFont val="Arial"/>
        <family val="2"/>
      </rPr>
      <t>,SSE</t>
    </r>
    <phoneticPr fontId="10" type="noConversion"/>
  </si>
  <si>
    <t>SSE</t>
    <phoneticPr fontId="10" type="noConversion"/>
  </si>
  <si>
    <r>
      <rPr>
        <sz val="10"/>
        <rFont val="微軟正黑體"/>
        <family val="2"/>
        <charset val="136"/>
      </rPr>
      <t>電壓</t>
    </r>
    <phoneticPr fontId="10" type="noConversion"/>
  </si>
  <si>
    <t>U</t>
  </si>
  <si>
    <t>[V]</t>
  </si>
  <si>
    <t>FKS16
Pt</t>
    <phoneticPr fontId="10" type="noConversion"/>
  </si>
  <si>
    <r>
      <t xml:space="preserve"> </t>
    </r>
    <r>
      <rPr>
        <b/>
        <sz val="10"/>
        <color theme="1"/>
        <rFont val="微軟正黑體"/>
        <family val="2"/>
        <charset val="136"/>
      </rPr>
      <t>測試值</t>
    </r>
    <phoneticPr fontId="10" type="noConversion"/>
  </si>
  <si>
    <r>
      <rPr>
        <sz val="10"/>
        <rFont val="微軟正黑體"/>
        <family val="2"/>
        <charset val="136"/>
      </rPr>
      <t>電流</t>
    </r>
  </si>
  <si>
    <t>I</t>
  </si>
  <si>
    <t>[Ampere]</t>
  </si>
  <si>
    <r>
      <rPr>
        <sz val="10"/>
        <rFont val="微軟正黑體"/>
        <family val="2"/>
        <charset val="136"/>
      </rPr>
      <t>功率</t>
    </r>
  </si>
  <si>
    <t>P</t>
  </si>
  <si>
    <t>[W]</t>
    <phoneticPr fontId="10" type="noConversion"/>
  </si>
  <si>
    <t>Pt-Rh
90-10</t>
    <phoneticPr fontId="10" type="noConversion"/>
  </si>
  <si>
    <t>Pt-Rh
80-20</t>
    <phoneticPr fontId="10" type="noConversion"/>
  </si>
  <si>
    <t>FKS16
PtRh-9010</t>
    <phoneticPr fontId="10" type="noConversion"/>
  </si>
  <si>
    <t>Pd</t>
    <phoneticPr fontId="10" type="noConversion"/>
  </si>
  <si>
    <t>Ni</t>
    <phoneticPr fontId="10" type="noConversion"/>
  </si>
  <si>
    <t>Cu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</si>
</sst>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"/>
    <numFmt numFmtId="177" formatCode="0.00000000E+00"/>
    <numFmt numFmtId="178" formatCode="0.00_);[Red]\(0.00\)"/>
    <numFmt numFmtId="179" formatCode="0.000"/>
    <numFmt numFmtId="180" formatCode="0.0000_ "/>
    <numFmt numFmtId="181" formatCode="0.00_ "/>
  </numFmts>
  <fonts count="38">
    <font>
      <sz val="11"/>
      <color theme="1"/>
      <name val="等线"/>
      <family val="2"/>
      <charset val="134"/>
      <scheme val="minor"/>
    </font>
    <font>
      <sz val="12"/>
      <color theme="1"/>
      <name val="等线"/>
      <family val="2"/>
      <charset val="136"/>
      <scheme val="minor"/>
    </font>
    <font>
      <sz val="9"/>
      <name val="等线"/>
      <family val="2"/>
      <charset val="134"/>
      <scheme val="minor"/>
    </font>
    <font>
      <sz val="12"/>
      <color theme="1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9"/>
      <name val="等线"/>
      <family val="2"/>
      <charset val="136"/>
      <scheme val="minor"/>
    </font>
    <font>
      <sz val="11"/>
      <color theme="1"/>
      <name val="等线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4"/>
      <color rgb="FFFF0000"/>
      <name val="細明體"/>
      <family val="3"/>
      <charset val="136"/>
    </font>
    <font>
      <sz val="9"/>
      <name val="細明體"/>
      <family val="3"/>
      <charset val="136"/>
    </font>
    <font>
      <sz val="12"/>
      <name val="細明體"/>
      <family val="3"/>
      <charset val="136"/>
    </font>
    <font>
      <b/>
      <sz val="12"/>
      <color rgb="FFFF0000"/>
      <name val="細明體"/>
      <family val="3"/>
      <charset val="136"/>
    </font>
    <font>
      <b/>
      <sz val="10"/>
      <name val="新細明體"/>
      <family val="1"/>
      <charset val="136"/>
    </font>
    <font>
      <b/>
      <vertAlign val="subscript"/>
      <sz val="10"/>
      <name val="Arial"/>
      <family val="2"/>
    </font>
    <font>
      <b/>
      <vertAlign val="superscript"/>
      <sz val="10"/>
      <name val="Arial"/>
      <family val="2"/>
    </font>
    <font>
      <sz val="12"/>
      <color theme="1"/>
      <name val="Arial"/>
      <family val="2"/>
    </font>
    <font>
      <sz val="10"/>
      <name val="微軟正黑體"/>
      <family val="3"/>
      <charset val="134"/>
    </font>
    <font>
      <sz val="10"/>
      <name val="宋体"/>
      <family val="3"/>
      <charset val="134"/>
    </font>
    <font>
      <sz val="10"/>
      <name val="微軟正黑體"/>
      <family val="2"/>
      <charset val="136"/>
    </font>
    <font>
      <b/>
      <sz val="10"/>
      <name val="細明體"/>
      <family val="3"/>
      <charset val="136"/>
    </font>
    <font>
      <b/>
      <sz val="12"/>
      <name val="Arial"/>
      <family val="2"/>
    </font>
    <font>
      <sz val="9"/>
      <name val="等线"/>
      <family val="3"/>
      <charset val="136"/>
      <scheme val="minor"/>
    </font>
    <font>
      <b/>
      <sz val="11"/>
      <color rgb="FFFF0000"/>
      <name val="等线"/>
      <family val="1"/>
      <charset val="136"/>
      <scheme val="minor"/>
    </font>
    <font>
      <b/>
      <sz val="16"/>
      <color theme="1"/>
      <name val="微軟正黑體"/>
      <family val="2"/>
      <charset val="136"/>
    </font>
    <font>
      <b/>
      <sz val="18"/>
      <color theme="1"/>
      <name val="Arial"/>
      <family val="2"/>
    </font>
    <font>
      <b/>
      <sz val="18"/>
      <color theme="1"/>
      <name val="微軟正黑體"/>
      <family val="2"/>
      <charset val="136"/>
    </font>
    <font>
      <b/>
      <sz val="12"/>
      <color theme="1"/>
      <name val="Arial"/>
      <family val="2"/>
    </font>
    <font>
      <b/>
      <sz val="12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b/>
      <sz val="10"/>
      <color theme="1"/>
      <name val="Arial"/>
      <family val="2"/>
    </font>
    <font>
      <vertAlign val="superscript"/>
      <sz val="10"/>
      <name val="Arial"/>
      <family val="2"/>
    </font>
    <font>
      <sz val="10"/>
      <name val="新細明體"/>
      <family val="1"/>
      <charset val="136"/>
    </font>
    <font>
      <vertAlign val="subscript"/>
      <sz val="10"/>
      <name val="Arial"/>
      <family val="2"/>
    </font>
    <font>
      <sz val="12"/>
      <color theme="0"/>
      <name val="等线"/>
      <family val="2"/>
      <charset val="136"/>
      <scheme val="minor"/>
    </font>
    <font>
      <b/>
      <sz val="10"/>
      <color theme="0"/>
      <name val="Arial"/>
      <family val="2"/>
    </font>
    <font>
      <sz val="10"/>
      <name val="PMingLiU"/>
      <family val="1"/>
    </font>
    <font>
      <sz val="10"/>
      <name val="細明體"/>
      <family val="3"/>
      <charset val="136"/>
    </font>
  </fonts>
  <fills count="1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</fills>
  <borders count="5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>
      <alignment vertical="center"/>
    </xf>
    <xf numFmtId="0" fontId="6" fillId="0" borderId="0"/>
    <xf numFmtId="0" fontId="7" fillId="0" borderId="0"/>
    <xf numFmtId="0" fontId="34" fillId="3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7" fillId="2" borderId="1" applyNumberFormat="0" applyFont="0" applyAlignment="0" applyProtection="0">
      <alignment vertical="center"/>
    </xf>
  </cellStyleXfs>
  <cellXfs count="288">
    <xf numFmtId="0" fontId="0" fillId="0" borderId="0" xfId="0">
      <alignment vertical="center"/>
    </xf>
    <xf numFmtId="0" fontId="1" fillId="0" borderId="0" xfId="1">
      <alignment vertical="center"/>
    </xf>
    <xf numFmtId="0" fontId="3" fillId="0" borderId="0" xfId="1" applyFont="1">
      <alignment vertical="center"/>
    </xf>
    <xf numFmtId="0" fontId="6" fillId="0" borderId="0" xfId="2"/>
    <xf numFmtId="0" fontId="8" fillId="0" borderId="0" xfId="3" applyFont="1" applyAlignment="1">
      <alignment horizontal="center" vertical="center" wrapText="1"/>
    </xf>
    <xf numFmtId="0" fontId="8" fillId="0" borderId="0" xfId="3" applyFont="1" applyAlignment="1">
      <alignment horizontal="center" vertical="center"/>
    </xf>
    <xf numFmtId="0" fontId="7" fillId="0" borderId="0" xfId="3"/>
    <xf numFmtId="176" fontId="8" fillId="0" borderId="0" xfId="3" applyNumberFormat="1" applyFont="1" applyAlignment="1">
      <alignment horizontal="center" vertical="center"/>
    </xf>
    <xf numFmtId="1" fontId="8" fillId="0" borderId="0" xfId="3" applyNumberFormat="1" applyFont="1" applyAlignment="1">
      <alignment horizontal="center" vertical="center"/>
    </xf>
    <xf numFmtId="2" fontId="8" fillId="0" borderId="0" xfId="3" applyNumberFormat="1" applyFont="1" applyAlignment="1">
      <alignment horizontal="center" vertical="center"/>
    </xf>
    <xf numFmtId="0" fontId="1" fillId="0" borderId="2" xfId="1" applyBorder="1">
      <alignment vertical="center"/>
    </xf>
    <xf numFmtId="0" fontId="1" fillId="0" borderId="3" xfId="1" applyBorder="1">
      <alignment vertical="center"/>
    </xf>
    <xf numFmtId="0" fontId="9" fillId="9" borderId="4" xfId="3" applyFont="1" applyFill="1" applyBorder="1" applyAlignment="1">
      <alignment horizontal="center" vertical="center" wrapText="1"/>
    </xf>
    <xf numFmtId="0" fontId="11" fillId="9" borderId="5" xfId="3" applyFont="1" applyFill="1" applyBorder="1" applyAlignment="1">
      <alignment horizontal="center" vertical="top" wrapText="1"/>
    </xf>
    <xf numFmtId="0" fontId="1" fillId="0" borderId="6" xfId="1" applyBorder="1" applyAlignment="1">
      <alignment vertical="top"/>
    </xf>
    <xf numFmtId="0" fontId="1" fillId="0" borderId="7" xfId="1" applyBorder="1" applyAlignment="1">
      <alignment vertical="top"/>
    </xf>
    <xf numFmtId="0" fontId="12" fillId="9" borderId="8" xfId="3" applyFont="1" applyFill="1" applyBorder="1" applyAlignment="1">
      <alignment horizontal="center" vertical="center" wrapText="1"/>
    </xf>
    <xf numFmtId="0" fontId="11" fillId="9" borderId="9" xfId="3" applyFont="1" applyFill="1" applyBorder="1" applyAlignment="1">
      <alignment horizontal="center" vertical="center" wrapText="1"/>
    </xf>
    <xf numFmtId="0" fontId="12" fillId="9" borderId="10" xfId="3" applyFont="1" applyFill="1" applyBorder="1" applyAlignment="1">
      <alignment horizontal="center" vertical="center" wrapText="1"/>
    </xf>
    <xf numFmtId="0" fontId="12" fillId="9" borderId="6" xfId="3" applyFont="1" applyFill="1" applyBorder="1" applyAlignment="1">
      <alignment horizontal="center" vertical="center" wrapText="1"/>
    </xf>
    <xf numFmtId="0" fontId="1" fillId="0" borderId="8" xfId="1" applyBorder="1" applyAlignment="1">
      <alignment horizontal="center" vertical="center" wrapText="1"/>
    </xf>
    <xf numFmtId="0" fontId="12" fillId="9" borderId="9" xfId="3" applyFont="1" applyFill="1" applyBorder="1" applyAlignment="1">
      <alignment horizontal="center" vertical="center" wrapText="1"/>
    </xf>
    <xf numFmtId="0" fontId="11" fillId="9" borderId="10" xfId="3" applyFont="1" applyFill="1" applyBorder="1" applyAlignment="1">
      <alignment horizontal="center" vertical="center" wrapText="1"/>
    </xf>
    <xf numFmtId="0" fontId="11" fillId="9" borderId="11" xfId="3" applyFont="1" applyFill="1" applyBorder="1" applyAlignment="1">
      <alignment horizontal="center" vertical="center" wrapText="1"/>
    </xf>
    <xf numFmtId="0" fontId="11" fillId="0" borderId="0" xfId="3" applyFont="1" applyAlignment="1">
      <alignment horizontal="center" vertical="center" wrapText="1"/>
    </xf>
    <xf numFmtId="0" fontId="1" fillId="0" borderId="12" xfId="1" applyBorder="1">
      <alignment vertical="center"/>
    </xf>
    <xf numFmtId="0" fontId="1" fillId="0" borderId="13" xfId="1" applyBorder="1">
      <alignment vertical="center"/>
    </xf>
    <xf numFmtId="0" fontId="1" fillId="0" borderId="14" xfId="1" applyBorder="1" applyAlignment="1">
      <alignment horizontal="center" vertical="center"/>
    </xf>
    <xf numFmtId="0" fontId="8" fillId="9" borderId="15" xfId="3" applyFont="1" applyFill="1" applyBorder="1" applyAlignment="1">
      <alignment horizontal="center" vertical="center"/>
    </xf>
    <xf numFmtId="0" fontId="8" fillId="9" borderId="16" xfId="3" applyFont="1" applyFill="1" applyBorder="1" applyAlignment="1">
      <alignment horizontal="center" vertical="center"/>
    </xf>
    <xf numFmtId="0" fontId="8" fillId="9" borderId="17" xfId="3" applyFont="1" applyFill="1" applyBorder="1" applyAlignment="1">
      <alignment horizontal="center" vertical="center"/>
    </xf>
    <xf numFmtId="0" fontId="8" fillId="9" borderId="18" xfId="3" applyFont="1" applyFill="1" applyBorder="1" applyAlignment="1">
      <alignment horizontal="center" vertical="center" wrapText="1"/>
    </xf>
    <xf numFmtId="0" fontId="8" fillId="9" borderId="19" xfId="3" applyFont="1" applyFill="1" applyBorder="1" applyAlignment="1">
      <alignment horizontal="center" vertical="center"/>
    </xf>
    <xf numFmtId="0" fontId="8" fillId="9" borderId="20" xfId="3" applyFont="1" applyFill="1" applyBorder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16" fillId="0" borderId="22" xfId="1" applyFont="1" applyBorder="1" applyAlignment="1">
      <alignment horizontal="center" vertical="center"/>
    </xf>
    <xf numFmtId="0" fontId="17" fillId="10" borderId="11" xfId="3" applyFont="1" applyFill="1" applyBorder="1" applyAlignment="1">
      <alignment horizontal="center" vertical="center"/>
    </xf>
    <xf numFmtId="0" fontId="8" fillId="11" borderId="8" xfId="3" applyFont="1" applyFill="1" applyBorder="1" applyAlignment="1">
      <alignment horizontal="center" vertical="center"/>
    </xf>
    <xf numFmtId="0" fontId="8" fillId="11" borderId="22" xfId="3" applyFont="1" applyFill="1" applyBorder="1" applyAlignment="1" applyProtection="1">
      <alignment horizontal="center" vertical="center"/>
      <protection hidden="1"/>
    </xf>
    <xf numFmtId="177" fontId="8" fillId="11" borderId="9" xfId="3" applyNumberFormat="1" applyFont="1" applyFill="1" applyBorder="1" applyAlignment="1" applyProtection="1">
      <alignment horizontal="center" vertical="center"/>
      <protection hidden="1"/>
    </xf>
    <xf numFmtId="0" fontId="8" fillId="11" borderId="9" xfId="3" applyFont="1" applyFill="1" applyBorder="1" applyAlignment="1" applyProtection="1">
      <alignment horizontal="center" vertical="center"/>
      <protection hidden="1"/>
    </xf>
    <xf numFmtId="0" fontId="8" fillId="11" borderId="10" xfId="3" applyFont="1" applyFill="1" applyBorder="1" applyAlignment="1" applyProtection="1">
      <alignment horizontal="center" vertical="center"/>
      <protection hidden="1"/>
    </xf>
    <xf numFmtId="0" fontId="8" fillId="11" borderId="22" xfId="3" applyFont="1" applyFill="1" applyBorder="1" applyAlignment="1">
      <alignment horizontal="center" vertical="center"/>
    </xf>
    <xf numFmtId="178" fontId="8" fillId="11" borderId="9" xfId="3" applyNumberFormat="1" applyFont="1" applyFill="1" applyBorder="1" applyAlignment="1" applyProtection="1">
      <alignment horizontal="center" vertical="center"/>
      <protection hidden="1"/>
    </xf>
    <xf numFmtId="0" fontId="8" fillId="11" borderId="9" xfId="3" applyFont="1" applyFill="1" applyBorder="1" applyAlignment="1">
      <alignment horizontal="center" vertical="center"/>
    </xf>
    <xf numFmtId="176" fontId="8" fillId="11" borderId="9" xfId="3" applyNumberFormat="1" applyFont="1" applyFill="1" applyBorder="1" applyAlignment="1" applyProtection="1">
      <alignment horizontal="center" vertical="center"/>
      <protection hidden="1"/>
    </xf>
    <xf numFmtId="1" fontId="8" fillId="11" borderId="9" xfId="3" applyNumberFormat="1" applyFont="1" applyFill="1" applyBorder="1" applyAlignment="1" applyProtection="1">
      <alignment horizontal="center" vertical="center"/>
      <protection hidden="1"/>
    </xf>
    <xf numFmtId="2" fontId="8" fillId="11" borderId="9" xfId="3" applyNumberFormat="1" applyFont="1" applyFill="1" applyBorder="1" applyAlignment="1" applyProtection="1">
      <alignment horizontal="center" vertical="center"/>
      <protection hidden="1"/>
    </xf>
    <xf numFmtId="179" fontId="8" fillId="11" borderId="11" xfId="3" applyNumberFormat="1" applyFont="1" applyFill="1" applyBorder="1" applyAlignment="1" applyProtection="1">
      <alignment horizontal="center" vertical="center"/>
      <protection hidden="1"/>
    </xf>
    <xf numFmtId="179" fontId="8" fillId="0" borderId="0" xfId="3" applyNumberFormat="1" applyFont="1" applyAlignment="1" applyProtection="1">
      <alignment horizontal="center" vertical="center"/>
      <protection hidden="1"/>
    </xf>
    <xf numFmtId="0" fontId="1" fillId="0" borderId="23" xfId="1" applyBorder="1" applyAlignment="1">
      <alignment horizontal="center" vertical="center"/>
    </xf>
    <xf numFmtId="0" fontId="19" fillId="10" borderId="24" xfId="3" applyFont="1" applyFill="1" applyBorder="1" applyAlignment="1">
      <alignment horizontal="center" vertical="center"/>
    </xf>
    <xf numFmtId="0" fontId="8" fillId="12" borderId="25" xfId="3" applyFont="1" applyFill="1" applyBorder="1" applyAlignment="1">
      <alignment horizontal="center" vertical="center"/>
    </xf>
    <xf numFmtId="0" fontId="8" fillId="12" borderId="23" xfId="3" applyFont="1" applyFill="1" applyBorder="1" applyAlignment="1" applyProtection="1">
      <alignment horizontal="center" vertical="center"/>
      <protection hidden="1"/>
    </xf>
    <xf numFmtId="177" fontId="8" fillId="12" borderId="26" xfId="3" applyNumberFormat="1" applyFont="1" applyFill="1" applyBorder="1" applyAlignment="1" applyProtection="1">
      <alignment horizontal="center" vertical="center"/>
      <protection hidden="1"/>
    </xf>
    <xf numFmtId="0" fontId="8" fillId="12" borderId="26" xfId="3" applyFont="1" applyFill="1" applyBorder="1" applyAlignment="1" applyProtection="1">
      <alignment horizontal="center" vertical="center"/>
      <protection hidden="1"/>
    </xf>
    <xf numFmtId="0" fontId="8" fillId="12" borderId="27" xfId="3" applyFont="1" applyFill="1" applyBorder="1" applyAlignment="1" applyProtection="1">
      <alignment horizontal="center" vertical="center"/>
      <protection hidden="1"/>
    </xf>
    <xf numFmtId="0" fontId="8" fillId="12" borderId="23" xfId="3" applyFont="1" applyFill="1" applyBorder="1" applyAlignment="1">
      <alignment horizontal="center" vertical="center"/>
    </xf>
    <xf numFmtId="178" fontId="8" fillId="12" borderId="26" xfId="3" applyNumberFormat="1" applyFont="1" applyFill="1" applyBorder="1" applyAlignment="1" applyProtection="1">
      <alignment horizontal="center" vertical="center"/>
      <protection hidden="1"/>
    </xf>
    <xf numFmtId="0" fontId="8" fillId="12" borderId="26" xfId="3" applyFont="1" applyFill="1" applyBorder="1" applyAlignment="1">
      <alignment horizontal="center" vertical="center"/>
    </xf>
    <xf numFmtId="0" fontId="20" fillId="12" borderId="26" xfId="3" applyFont="1" applyFill="1" applyBorder="1" applyAlignment="1">
      <alignment horizontal="center" vertical="center"/>
    </xf>
    <xf numFmtId="176" fontId="8" fillId="12" borderId="26" xfId="3" applyNumberFormat="1" applyFont="1" applyFill="1" applyBorder="1" applyAlignment="1" applyProtection="1">
      <alignment horizontal="center" vertical="center"/>
      <protection hidden="1"/>
    </xf>
    <xf numFmtId="1" fontId="8" fillId="12" borderId="26" xfId="3" applyNumberFormat="1" applyFont="1" applyFill="1" applyBorder="1" applyAlignment="1" applyProtection="1">
      <alignment horizontal="center" vertical="center"/>
      <protection hidden="1"/>
    </xf>
    <xf numFmtId="179" fontId="8" fillId="12" borderId="26" xfId="3" applyNumberFormat="1" applyFont="1" applyFill="1" applyBorder="1" applyAlignment="1">
      <alignment horizontal="center" vertical="center"/>
    </xf>
    <xf numFmtId="180" fontId="8" fillId="12" borderId="26" xfId="3" applyNumberFormat="1" applyFont="1" applyFill="1" applyBorder="1" applyAlignment="1" applyProtection="1">
      <alignment horizontal="center" vertical="center"/>
      <protection hidden="1"/>
    </xf>
    <xf numFmtId="2" fontId="8" fillId="12" borderId="26" xfId="3" applyNumberFormat="1" applyFont="1" applyFill="1" applyBorder="1" applyAlignment="1" applyProtection="1">
      <alignment horizontal="center" vertical="center"/>
      <protection hidden="1"/>
    </xf>
    <xf numFmtId="179" fontId="8" fillId="12" borderId="24" xfId="3" applyNumberFormat="1" applyFont="1" applyFill="1" applyBorder="1" applyAlignment="1" applyProtection="1">
      <alignment horizontal="center" vertical="center"/>
      <protection hidden="1"/>
    </xf>
    <xf numFmtId="0" fontId="19" fillId="10" borderId="24" xfId="3" applyFont="1" applyFill="1" applyBorder="1" applyAlignment="1">
      <alignment horizontal="center" vertical="center" wrapText="1"/>
    </xf>
    <xf numFmtId="0" fontId="8" fillId="11" borderId="25" xfId="3" applyFont="1" applyFill="1" applyBorder="1" applyAlignment="1">
      <alignment horizontal="center" vertical="center"/>
    </xf>
    <xf numFmtId="0" fontId="8" fillId="11" borderId="23" xfId="3" applyFont="1" applyFill="1" applyBorder="1" applyAlignment="1" applyProtection="1">
      <alignment horizontal="center" vertical="center"/>
      <protection hidden="1"/>
    </xf>
    <xf numFmtId="177" fontId="8" fillId="11" borderId="26" xfId="3" applyNumberFormat="1" applyFont="1" applyFill="1" applyBorder="1" applyAlignment="1" applyProtection="1">
      <alignment horizontal="center" vertical="center"/>
      <protection hidden="1"/>
    </xf>
    <xf numFmtId="0" fontId="8" fillId="11" borderId="26" xfId="3" applyFont="1" applyFill="1" applyBorder="1" applyAlignment="1" applyProtection="1">
      <alignment horizontal="center" vertical="center"/>
      <protection hidden="1"/>
    </xf>
    <xf numFmtId="0" fontId="8" fillId="11" borderId="27" xfId="3" applyFont="1" applyFill="1" applyBorder="1" applyAlignment="1" applyProtection="1">
      <alignment horizontal="center" vertical="center"/>
      <protection hidden="1"/>
    </xf>
    <xf numFmtId="0" fontId="8" fillId="11" borderId="23" xfId="3" applyFont="1" applyFill="1" applyBorder="1" applyAlignment="1">
      <alignment horizontal="center" vertical="center"/>
    </xf>
    <xf numFmtId="178" fontId="8" fillId="11" borderId="26" xfId="3" applyNumberFormat="1" applyFont="1" applyFill="1" applyBorder="1" applyAlignment="1" applyProtection="1">
      <alignment horizontal="center" vertical="center"/>
      <protection hidden="1"/>
    </xf>
    <xf numFmtId="0" fontId="8" fillId="11" borderId="26" xfId="3" applyFont="1" applyFill="1" applyBorder="1" applyAlignment="1">
      <alignment horizontal="center" vertical="center"/>
    </xf>
    <xf numFmtId="176" fontId="8" fillId="11" borderId="26" xfId="3" applyNumberFormat="1" applyFont="1" applyFill="1" applyBorder="1" applyAlignment="1" applyProtection="1">
      <alignment horizontal="center" vertical="center"/>
      <protection hidden="1"/>
    </xf>
    <xf numFmtId="1" fontId="8" fillId="11" borderId="26" xfId="3" applyNumberFormat="1" applyFont="1" applyFill="1" applyBorder="1" applyAlignment="1" applyProtection="1">
      <alignment horizontal="center" vertical="center"/>
      <protection hidden="1"/>
    </xf>
    <xf numFmtId="179" fontId="8" fillId="11" borderId="26" xfId="3" applyNumberFormat="1" applyFont="1" applyFill="1" applyBorder="1" applyAlignment="1">
      <alignment horizontal="center" vertical="center"/>
    </xf>
    <xf numFmtId="180" fontId="8" fillId="11" borderId="26" xfId="3" applyNumberFormat="1" applyFont="1" applyFill="1" applyBorder="1" applyAlignment="1" applyProtection="1">
      <alignment horizontal="center" vertical="center"/>
      <protection hidden="1"/>
    </xf>
    <xf numFmtId="2" fontId="8" fillId="11" borderId="26" xfId="3" applyNumberFormat="1" applyFont="1" applyFill="1" applyBorder="1" applyAlignment="1" applyProtection="1">
      <alignment horizontal="center" vertical="center"/>
      <protection hidden="1"/>
    </xf>
    <xf numFmtId="179" fontId="8" fillId="11" borderId="24" xfId="3" applyNumberFormat="1" applyFont="1" applyFill="1" applyBorder="1" applyAlignment="1" applyProtection="1">
      <alignment horizontal="center" vertical="center"/>
      <protection hidden="1"/>
    </xf>
    <xf numFmtId="0" fontId="16" fillId="0" borderId="0" xfId="1" applyFont="1" applyAlignment="1">
      <alignment horizontal="center" vertical="center"/>
    </xf>
    <xf numFmtId="0" fontId="7" fillId="0" borderId="0" xfId="3" applyAlignment="1">
      <alignment horizontal="center" vertical="center"/>
    </xf>
    <xf numFmtId="176" fontId="21" fillId="13" borderId="28" xfId="3" applyNumberFormat="1" applyFont="1" applyFill="1" applyBorder="1" applyAlignment="1" applyProtection="1">
      <alignment horizontal="center" vertical="center"/>
      <protection hidden="1"/>
    </xf>
    <xf numFmtId="176" fontId="21" fillId="13" borderId="29" xfId="3" applyNumberFormat="1" applyFont="1" applyFill="1" applyBorder="1" applyAlignment="1" applyProtection="1">
      <alignment horizontal="center" vertical="center"/>
      <protection hidden="1"/>
    </xf>
    <xf numFmtId="176" fontId="21" fillId="0" borderId="0" xfId="3" applyNumberFormat="1" applyFont="1" applyAlignment="1" applyProtection="1">
      <alignment horizontal="center" vertical="center"/>
      <protection hidden="1"/>
    </xf>
    <xf numFmtId="0" fontId="18" fillId="10" borderId="11" xfId="3" applyFont="1" applyFill="1" applyBorder="1" applyAlignment="1">
      <alignment horizontal="center" vertical="center"/>
    </xf>
    <xf numFmtId="181" fontId="8" fillId="12" borderId="26" xfId="3" applyNumberFormat="1" applyFont="1" applyFill="1" applyBorder="1" applyAlignment="1" applyProtection="1">
      <alignment horizontal="center" vertical="center"/>
      <protection hidden="1"/>
    </xf>
    <xf numFmtId="181" fontId="8" fillId="11" borderId="26" xfId="3" applyNumberFormat="1" applyFont="1" applyFill="1" applyBorder="1" applyAlignment="1" applyProtection="1">
      <alignment horizontal="center" vertical="center"/>
      <protection hidden="1"/>
    </xf>
    <xf numFmtId="181" fontId="23" fillId="13" borderId="0" xfId="2" applyNumberFormat="1" applyFont="1" applyFill="1"/>
    <xf numFmtId="0" fontId="7" fillId="0" borderId="30" xfId="3" applyBorder="1" applyAlignment="1">
      <alignment horizontal="center" vertical="center"/>
    </xf>
    <xf numFmtId="0" fontId="7" fillId="0" borderId="31" xfId="3" applyBorder="1" applyAlignment="1">
      <alignment horizontal="center" vertical="center"/>
    </xf>
    <xf numFmtId="0" fontId="7" fillId="0" borderId="29" xfId="3" applyBorder="1" applyAlignment="1">
      <alignment horizontal="center" vertical="center"/>
    </xf>
    <xf numFmtId="0" fontId="24" fillId="14" borderId="2" xfId="3" applyFont="1" applyFill="1" applyBorder="1" applyAlignment="1">
      <alignment horizontal="center" vertical="center"/>
    </xf>
    <xf numFmtId="0" fontId="7" fillId="0" borderId="3" xfId="3" applyBorder="1"/>
    <xf numFmtId="0" fontId="25" fillId="0" borderId="32" xfId="3" applyFont="1" applyBorder="1" applyAlignment="1">
      <alignment horizontal="center" vertical="center"/>
    </xf>
    <xf numFmtId="0" fontId="7" fillId="0" borderId="33" xfId="3" applyBorder="1"/>
    <xf numFmtId="0" fontId="7" fillId="0" borderId="34" xfId="3" applyBorder="1"/>
    <xf numFmtId="0" fontId="19" fillId="0" borderId="35" xfId="3" applyFont="1" applyBorder="1" applyAlignment="1">
      <alignment horizontal="left" vertical="center"/>
    </xf>
    <xf numFmtId="0" fontId="8" fillId="0" borderId="36" xfId="3" applyFont="1" applyBorder="1" applyAlignment="1">
      <alignment horizontal="center" vertical="center"/>
    </xf>
    <xf numFmtId="0" fontId="7" fillId="0" borderId="37" xfId="3" applyBorder="1" applyAlignment="1">
      <alignment vertical="center"/>
    </xf>
    <xf numFmtId="0" fontId="7" fillId="0" borderId="38" xfId="3" applyBorder="1"/>
    <xf numFmtId="0" fontId="7" fillId="0" borderId="39" xfId="3" applyBorder="1"/>
    <xf numFmtId="0" fontId="27" fillId="14" borderId="5" xfId="3" applyFont="1" applyFill="1" applyBorder="1" applyAlignment="1">
      <alignment horizontal="center" vertical="center"/>
    </xf>
    <xf numFmtId="0" fontId="27" fillId="0" borderId="6" xfId="3" applyFont="1" applyBorder="1" applyAlignment="1">
      <alignment horizontal="center" vertical="center"/>
    </xf>
    <xf numFmtId="0" fontId="29" fillId="14" borderId="22" xfId="3" applyFont="1" applyFill="1" applyBorder="1" applyAlignment="1">
      <alignment horizontal="center"/>
    </xf>
    <xf numFmtId="0" fontId="30" fillId="0" borderId="9" xfId="3" applyFont="1" applyBorder="1" applyAlignment="1">
      <alignment horizontal="center"/>
    </xf>
    <xf numFmtId="0" fontId="7" fillId="0" borderId="9" xfId="3" applyBorder="1"/>
    <xf numFmtId="0" fontId="7" fillId="0" borderId="11" xfId="3" applyBorder="1"/>
    <xf numFmtId="0" fontId="19" fillId="0" borderId="23" xfId="3" applyFont="1" applyBorder="1" applyAlignment="1">
      <alignment horizontal="left" vertical="center"/>
    </xf>
    <xf numFmtId="0" fontId="8" fillId="0" borderId="26" xfId="3" applyFont="1" applyBorder="1" applyAlignment="1">
      <alignment horizontal="center" vertical="center"/>
    </xf>
    <xf numFmtId="0" fontId="7" fillId="0" borderId="24" xfId="3" applyBorder="1" applyAlignment="1">
      <alignment vertical="center"/>
    </xf>
    <xf numFmtId="0" fontId="7" fillId="0" borderId="12" xfId="3" applyBorder="1"/>
    <xf numFmtId="0" fontId="7" fillId="0" borderId="13" xfId="3" applyBorder="1"/>
    <xf numFmtId="0" fontId="27" fillId="14" borderId="40" xfId="3" applyFont="1" applyFill="1" applyBorder="1" applyAlignment="1">
      <alignment horizontal="center" vertical="center"/>
    </xf>
    <xf numFmtId="0" fontId="27" fillId="14" borderId="41" xfId="3" applyFont="1" applyFill="1" applyBorder="1" applyAlignment="1">
      <alignment horizontal="center" vertical="center"/>
    </xf>
    <xf numFmtId="0" fontId="27" fillId="14" borderId="19" xfId="3" applyFont="1" applyFill="1" applyBorder="1" applyAlignment="1">
      <alignment horizontal="center" vertical="center"/>
    </xf>
    <xf numFmtId="0" fontId="30" fillId="14" borderId="40" xfId="3" applyFont="1" applyFill="1" applyBorder="1" applyAlignment="1">
      <alignment horizontal="center"/>
    </xf>
    <xf numFmtId="0" fontId="29" fillId="14" borderId="41" xfId="3" applyFont="1" applyFill="1" applyBorder="1" applyAlignment="1">
      <alignment horizontal="center"/>
    </xf>
    <xf numFmtId="0" fontId="29" fillId="14" borderId="42" xfId="3" applyFont="1" applyFill="1" applyBorder="1" applyAlignment="1">
      <alignment horizontal="center"/>
    </xf>
    <xf numFmtId="0" fontId="29" fillId="0" borderId="0" xfId="3" applyFont="1" applyAlignment="1">
      <alignment horizontal="center"/>
    </xf>
    <xf numFmtId="0" fontId="7" fillId="0" borderId="23" xfId="3" applyBorder="1" applyAlignment="1">
      <alignment horizontal="left" vertical="center"/>
    </xf>
    <xf numFmtId="0" fontId="30" fillId="3" borderId="4" xfId="4" applyFont="1" applyBorder="1" applyAlignment="1">
      <alignment horizontal="center" vertical="center"/>
    </xf>
    <xf numFmtId="0" fontId="30" fillId="3" borderId="43" xfId="4" applyFont="1" applyBorder="1" applyAlignment="1">
      <alignment horizontal="right"/>
    </xf>
    <xf numFmtId="0" fontId="30" fillId="3" borderId="35" xfId="4" applyFont="1" applyBorder="1" applyAlignment="1">
      <alignment horizontal="center" vertical="center"/>
    </xf>
    <xf numFmtId="0" fontId="30" fillId="3" borderId="36" xfId="4" applyFont="1" applyBorder="1" applyAlignment="1">
      <alignment horizontal="center" vertical="center"/>
    </xf>
    <xf numFmtId="0" fontId="30" fillId="3" borderId="44" xfId="4" applyFont="1" applyBorder="1" applyAlignment="1">
      <alignment horizontal="center" vertical="center"/>
    </xf>
    <xf numFmtId="0" fontId="35" fillId="3" borderId="22" xfId="4" applyFont="1" applyBorder="1" applyAlignment="1">
      <alignment horizontal="center" vertical="center"/>
    </xf>
    <xf numFmtId="0" fontId="35" fillId="3" borderId="9" xfId="4" applyFont="1" applyBorder="1" applyAlignment="1">
      <alignment horizontal="center" vertical="center"/>
    </xf>
    <xf numFmtId="0" fontId="35" fillId="3" borderId="11" xfId="4" applyFont="1" applyBorder="1" applyAlignment="1">
      <alignment horizontal="center" vertical="center"/>
    </xf>
    <xf numFmtId="0" fontId="30" fillId="0" borderId="45" xfId="3" applyFont="1" applyBorder="1" applyAlignment="1">
      <alignment horizontal="center" vertical="center"/>
    </xf>
    <xf numFmtId="0" fontId="30" fillId="3" borderId="46" xfId="4" applyFont="1" applyBorder="1" applyAlignment="1">
      <alignment horizontal="right"/>
    </xf>
    <xf numFmtId="0" fontId="30" fillId="3" borderId="23" xfId="4" applyFont="1" applyBorder="1" applyAlignment="1">
      <alignment horizontal="center" vertical="center"/>
    </xf>
    <xf numFmtId="0" fontId="30" fillId="3" borderId="26" xfId="4" applyFont="1" applyBorder="1" applyAlignment="1">
      <alignment horizontal="center" vertical="center"/>
    </xf>
    <xf numFmtId="0" fontId="30" fillId="3" borderId="27" xfId="4" applyFont="1" applyBorder="1" applyAlignment="1">
      <alignment horizontal="center" vertical="center"/>
    </xf>
    <xf numFmtId="0" fontId="7" fillId="0" borderId="23" xfId="3" applyBorder="1" applyAlignment="1">
      <alignment horizontal="center"/>
    </xf>
    <xf numFmtId="0" fontId="7" fillId="0" borderId="26" xfId="3" applyBorder="1"/>
    <xf numFmtId="0" fontId="7" fillId="0" borderId="26" xfId="3" applyBorder="1" applyAlignment="1">
      <alignment horizontal="center"/>
    </xf>
    <xf numFmtId="0" fontId="7" fillId="0" borderId="24" xfId="3" applyBorder="1" applyAlignment="1">
      <alignment horizontal="center"/>
    </xf>
    <xf numFmtId="0" fontId="30" fillId="0" borderId="14" xfId="3" applyFont="1" applyBorder="1" applyAlignment="1">
      <alignment horizontal="center" vertical="center"/>
    </xf>
    <xf numFmtId="0" fontId="30" fillId="3" borderId="47" xfId="4" applyFont="1" applyBorder="1" applyAlignment="1">
      <alignment horizontal="right"/>
    </xf>
    <xf numFmtId="0" fontId="30" fillId="3" borderId="40" xfId="4" applyFont="1" applyBorder="1" applyAlignment="1">
      <alignment horizontal="center" vertical="center"/>
    </xf>
    <xf numFmtId="0" fontId="30" fillId="3" borderId="41" xfId="4" applyFont="1" applyBorder="1" applyAlignment="1">
      <alignment horizontal="center" vertical="center"/>
    </xf>
    <xf numFmtId="0" fontId="30" fillId="3" borderId="19" xfId="4" applyFont="1" applyBorder="1" applyAlignment="1">
      <alignment horizontal="center" vertical="center"/>
    </xf>
    <xf numFmtId="0" fontId="30" fillId="3" borderId="40" xfId="4" applyFont="1" applyBorder="1" applyAlignment="1">
      <alignment horizontal="center"/>
    </xf>
    <xf numFmtId="0" fontId="30" fillId="3" borderId="41" xfId="4" applyFont="1" applyBorder="1" applyAlignment="1">
      <alignment horizontal="center" vertical="center"/>
    </xf>
    <xf numFmtId="0" fontId="7" fillId="0" borderId="41" xfId="3" applyBorder="1"/>
    <xf numFmtId="0" fontId="7" fillId="0" borderId="42" xfId="3" applyBorder="1"/>
    <xf numFmtId="0" fontId="30" fillId="4" borderId="4" xfId="5" applyFont="1" applyBorder="1" applyAlignment="1">
      <alignment horizontal="center" vertical="center" wrapText="1"/>
    </xf>
    <xf numFmtId="0" fontId="30" fillId="4" borderId="43" xfId="5" applyFont="1" applyBorder="1" applyAlignment="1">
      <alignment horizontal="right"/>
    </xf>
    <xf numFmtId="0" fontId="30" fillId="4" borderId="22" xfId="5" applyFont="1" applyBorder="1" applyAlignment="1">
      <alignment horizontal="center" vertical="center"/>
    </xf>
    <xf numFmtId="0" fontId="30" fillId="4" borderId="9" xfId="5" applyFont="1" applyBorder="1" applyAlignment="1">
      <alignment horizontal="center" vertical="center"/>
    </xf>
    <xf numFmtId="0" fontId="30" fillId="4" borderId="10" xfId="5" applyFont="1" applyBorder="1" applyAlignment="1">
      <alignment horizontal="center" vertical="center"/>
    </xf>
    <xf numFmtId="0" fontId="35" fillId="4" borderId="22" xfId="5" applyFont="1" applyBorder="1" applyAlignment="1">
      <alignment horizontal="center" vertical="center"/>
    </xf>
    <xf numFmtId="0" fontId="35" fillId="4" borderId="9" xfId="5" applyFont="1" applyBorder="1" applyAlignment="1">
      <alignment horizontal="center" vertical="center"/>
    </xf>
    <xf numFmtId="0" fontId="35" fillId="4" borderId="11" xfId="5" applyFont="1" applyBorder="1" applyAlignment="1">
      <alignment horizontal="center" vertical="center"/>
    </xf>
    <xf numFmtId="0" fontId="30" fillId="4" borderId="46" xfId="5" applyFont="1" applyBorder="1" applyAlignment="1">
      <alignment horizontal="right"/>
    </xf>
    <xf numFmtId="0" fontId="30" fillId="4" borderId="23" xfId="5" applyFont="1" applyBorder="1" applyAlignment="1">
      <alignment horizontal="center" vertical="center"/>
    </xf>
    <xf numFmtId="0" fontId="30" fillId="4" borderId="26" xfId="5" applyFont="1" applyBorder="1" applyAlignment="1">
      <alignment horizontal="center" vertical="center"/>
    </xf>
    <xf numFmtId="0" fontId="30" fillId="4" borderId="27" xfId="5" applyFont="1" applyBorder="1" applyAlignment="1">
      <alignment horizontal="center" vertical="center"/>
    </xf>
    <xf numFmtId="0" fontId="7" fillId="0" borderId="24" xfId="3" applyBorder="1"/>
    <xf numFmtId="0" fontId="7" fillId="0" borderId="40" xfId="3" applyBorder="1" applyAlignment="1">
      <alignment horizontal="left" vertical="center"/>
    </xf>
    <xf numFmtId="0" fontId="8" fillId="0" borderId="41" xfId="3" applyFont="1" applyBorder="1" applyAlignment="1">
      <alignment horizontal="center" vertical="center"/>
    </xf>
    <xf numFmtId="0" fontId="7" fillId="0" borderId="42" xfId="3" applyBorder="1" applyAlignment="1">
      <alignment vertical="center"/>
    </xf>
    <xf numFmtId="0" fontId="30" fillId="4" borderId="47" xfId="5" applyFont="1" applyBorder="1" applyAlignment="1">
      <alignment horizontal="right"/>
    </xf>
    <xf numFmtId="0" fontId="30" fillId="4" borderId="40" xfId="5" applyFont="1" applyBorder="1" applyAlignment="1">
      <alignment horizontal="center" vertical="center"/>
    </xf>
    <xf numFmtId="0" fontId="30" fillId="4" borderId="41" xfId="5" applyFont="1" applyBorder="1" applyAlignment="1">
      <alignment horizontal="center" vertical="center"/>
    </xf>
    <xf numFmtId="0" fontId="30" fillId="4" borderId="19" xfId="5" applyFont="1" applyBorder="1" applyAlignment="1">
      <alignment horizontal="center" vertical="center"/>
    </xf>
    <xf numFmtId="0" fontId="30" fillId="4" borderId="40" xfId="5" applyFont="1" applyBorder="1" applyAlignment="1">
      <alignment horizontal="center"/>
    </xf>
    <xf numFmtId="0" fontId="30" fillId="4" borderId="41" xfId="5" applyFont="1" applyBorder="1" applyAlignment="1">
      <alignment horizontal="center" vertical="center"/>
    </xf>
    <xf numFmtId="0" fontId="30" fillId="5" borderId="4" xfId="6" applyFont="1" applyBorder="1" applyAlignment="1">
      <alignment horizontal="center" vertical="center" wrapText="1"/>
    </xf>
    <xf numFmtId="0" fontId="30" fillId="5" borderId="43" xfId="6" applyFont="1" applyBorder="1" applyAlignment="1">
      <alignment horizontal="right"/>
    </xf>
    <xf numFmtId="0" fontId="30" fillId="5" borderId="22" xfId="6" applyFont="1" applyBorder="1" applyAlignment="1">
      <alignment horizontal="center" vertical="center"/>
    </xf>
    <xf numFmtId="0" fontId="30" fillId="5" borderId="9" xfId="6" applyFont="1" applyBorder="1" applyAlignment="1">
      <alignment horizontal="center" vertical="center"/>
    </xf>
    <xf numFmtId="0" fontId="30" fillId="5" borderId="10" xfId="6" applyFont="1" applyBorder="1" applyAlignment="1">
      <alignment horizontal="center" vertical="center"/>
    </xf>
    <xf numFmtId="0" fontId="35" fillId="5" borderId="22" xfId="6" applyFont="1" applyBorder="1" applyAlignment="1">
      <alignment horizontal="center" vertical="center"/>
    </xf>
    <xf numFmtId="0" fontId="35" fillId="5" borderId="9" xfId="6" applyFont="1" applyBorder="1" applyAlignment="1">
      <alignment horizontal="center" vertical="center"/>
    </xf>
    <xf numFmtId="0" fontId="35" fillId="5" borderId="11" xfId="6" applyFont="1" applyBorder="1" applyAlignment="1">
      <alignment horizontal="center" vertical="center"/>
    </xf>
    <xf numFmtId="0" fontId="30" fillId="5" borderId="46" xfId="6" applyFont="1" applyBorder="1" applyAlignment="1">
      <alignment horizontal="right"/>
    </xf>
    <xf numFmtId="0" fontId="30" fillId="5" borderId="23" xfId="6" applyFont="1" applyBorder="1" applyAlignment="1">
      <alignment horizontal="center" vertical="center"/>
    </xf>
    <xf numFmtId="0" fontId="30" fillId="5" borderId="26" xfId="6" applyFont="1" applyBorder="1" applyAlignment="1">
      <alignment horizontal="center" vertical="center"/>
    </xf>
    <xf numFmtId="0" fontId="30" fillId="5" borderId="27" xfId="6" applyFont="1" applyBorder="1" applyAlignment="1">
      <alignment horizontal="center" vertical="center"/>
    </xf>
    <xf numFmtId="0" fontId="30" fillId="5" borderId="47" xfId="6" applyFont="1" applyBorder="1" applyAlignment="1">
      <alignment horizontal="right"/>
    </xf>
    <xf numFmtId="0" fontId="30" fillId="5" borderId="40" xfId="6" applyFont="1" applyBorder="1" applyAlignment="1">
      <alignment horizontal="center" vertical="center"/>
    </xf>
    <xf numFmtId="0" fontId="30" fillId="5" borderId="41" xfId="6" applyFont="1" applyBorder="1" applyAlignment="1">
      <alignment horizontal="center" vertical="center"/>
    </xf>
    <xf numFmtId="0" fontId="30" fillId="5" borderId="19" xfId="6" applyFont="1" applyBorder="1" applyAlignment="1">
      <alignment horizontal="center" vertical="center"/>
    </xf>
    <xf numFmtId="0" fontId="30" fillId="5" borderId="40" xfId="6" applyFont="1" applyBorder="1" applyAlignment="1">
      <alignment horizontal="center"/>
    </xf>
    <xf numFmtId="0" fontId="30" fillId="5" borderId="41" xfId="6" applyFont="1" applyBorder="1" applyAlignment="1">
      <alignment horizontal="center" vertical="center"/>
    </xf>
    <xf numFmtId="0" fontId="30" fillId="6" borderId="4" xfId="7" applyFont="1" applyBorder="1" applyAlignment="1">
      <alignment horizontal="center" vertical="center" wrapText="1"/>
    </xf>
    <xf numFmtId="0" fontId="30" fillId="6" borderId="43" xfId="7" applyFont="1" applyBorder="1" applyAlignment="1">
      <alignment horizontal="right"/>
    </xf>
    <xf numFmtId="0" fontId="30" fillId="6" borderId="22" xfId="7" applyFont="1" applyBorder="1" applyAlignment="1">
      <alignment horizontal="center" vertical="center"/>
    </xf>
    <xf numFmtId="0" fontId="30" fillId="6" borderId="9" xfId="7" applyFont="1" applyBorder="1" applyAlignment="1">
      <alignment horizontal="center" vertical="center"/>
    </xf>
    <xf numFmtId="0" fontId="30" fillId="6" borderId="10" xfId="7" applyFont="1" applyBorder="1" applyAlignment="1">
      <alignment horizontal="center" vertical="center"/>
    </xf>
    <xf numFmtId="0" fontId="35" fillId="6" borderId="22" xfId="7" applyFont="1" applyBorder="1" applyAlignment="1">
      <alignment horizontal="center" vertical="center"/>
    </xf>
    <xf numFmtId="0" fontId="35" fillId="6" borderId="9" xfId="7" applyFont="1" applyBorder="1" applyAlignment="1">
      <alignment horizontal="center" vertical="center"/>
    </xf>
    <xf numFmtId="0" fontId="35" fillId="6" borderId="11" xfId="7" applyFont="1" applyBorder="1" applyAlignment="1">
      <alignment horizontal="center" vertical="center"/>
    </xf>
    <xf numFmtId="0" fontId="30" fillId="6" borderId="46" xfId="7" applyFont="1" applyBorder="1" applyAlignment="1">
      <alignment horizontal="right"/>
    </xf>
    <xf numFmtId="0" fontId="30" fillId="6" borderId="23" xfId="7" applyFont="1" applyBorder="1" applyAlignment="1">
      <alignment horizontal="center" vertical="center"/>
    </xf>
    <xf numFmtId="0" fontId="30" fillId="6" borderId="26" xfId="7" applyFont="1" applyBorder="1" applyAlignment="1">
      <alignment horizontal="center" vertical="center"/>
    </xf>
    <xf numFmtId="0" fontId="30" fillId="6" borderId="27" xfId="7" applyFont="1" applyBorder="1" applyAlignment="1">
      <alignment horizontal="center" vertical="center"/>
    </xf>
    <xf numFmtId="0" fontId="30" fillId="6" borderId="47" xfId="7" applyFont="1" applyBorder="1" applyAlignment="1">
      <alignment horizontal="right"/>
    </xf>
    <xf numFmtId="0" fontId="30" fillId="6" borderId="40" xfId="7" applyFont="1" applyBorder="1" applyAlignment="1">
      <alignment horizontal="center" vertical="center"/>
    </xf>
    <xf numFmtId="0" fontId="30" fillId="6" borderId="41" xfId="7" applyFont="1" applyBorder="1" applyAlignment="1">
      <alignment horizontal="center" vertical="center"/>
    </xf>
    <xf numFmtId="0" fontId="30" fillId="6" borderId="19" xfId="7" applyFont="1" applyBorder="1" applyAlignment="1">
      <alignment horizontal="center" vertical="center"/>
    </xf>
    <xf numFmtId="0" fontId="30" fillId="6" borderId="40" xfId="7" applyFont="1" applyBorder="1" applyAlignment="1">
      <alignment horizontal="center"/>
    </xf>
    <xf numFmtId="0" fontId="30" fillId="6" borderId="41" xfId="7" applyFont="1" applyBorder="1" applyAlignment="1">
      <alignment horizontal="center" vertical="center"/>
    </xf>
    <xf numFmtId="0" fontId="30" fillId="7" borderId="4" xfId="8" applyFont="1" applyBorder="1" applyAlignment="1">
      <alignment horizontal="center" vertical="center" wrapText="1"/>
    </xf>
    <xf numFmtId="0" fontId="30" fillId="7" borderId="43" xfId="8" applyFont="1" applyBorder="1" applyAlignment="1">
      <alignment horizontal="right"/>
    </xf>
    <xf numFmtId="0" fontId="30" fillId="7" borderId="22" xfId="8" applyFont="1" applyBorder="1" applyAlignment="1">
      <alignment horizontal="center" vertical="center"/>
    </xf>
    <xf numFmtId="0" fontId="30" fillId="7" borderId="9" xfId="8" applyFont="1" applyBorder="1" applyAlignment="1">
      <alignment horizontal="center" vertical="center"/>
    </xf>
    <xf numFmtId="0" fontId="30" fillId="7" borderId="10" xfId="8" applyFont="1" applyBorder="1" applyAlignment="1">
      <alignment horizontal="center" vertical="center"/>
    </xf>
    <xf numFmtId="0" fontId="35" fillId="7" borderId="22" xfId="8" applyFont="1" applyBorder="1" applyAlignment="1">
      <alignment horizontal="center" vertical="center"/>
    </xf>
    <xf numFmtId="0" fontId="35" fillId="7" borderId="9" xfId="8" applyFont="1" applyBorder="1" applyAlignment="1">
      <alignment horizontal="center" vertical="center"/>
    </xf>
    <xf numFmtId="0" fontId="35" fillId="7" borderId="11" xfId="8" applyFont="1" applyBorder="1" applyAlignment="1">
      <alignment horizontal="center" vertical="center"/>
    </xf>
    <xf numFmtId="0" fontId="30" fillId="7" borderId="46" xfId="8" applyFont="1" applyBorder="1" applyAlignment="1">
      <alignment horizontal="right"/>
    </xf>
    <xf numFmtId="0" fontId="30" fillId="7" borderId="23" xfId="8" applyFont="1" applyBorder="1" applyAlignment="1">
      <alignment horizontal="center" vertical="center"/>
    </xf>
    <xf numFmtId="0" fontId="30" fillId="7" borderId="26" xfId="8" applyFont="1" applyBorder="1" applyAlignment="1">
      <alignment horizontal="center" vertical="center"/>
    </xf>
    <xf numFmtId="0" fontId="30" fillId="7" borderId="27" xfId="8" applyFont="1" applyBorder="1" applyAlignment="1">
      <alignment horizontal="center" vertical="center"/>
    </xf>
    <xf numFmtId="0" fontId="30" fillId="7" borderId="47" xfId="8" applyFont="1" applyBorder="1" applyAlignment="1">
      <alignment horizontal="right"/>
    </xf>
    <xf numFmtId="0" fontId="30" fillId="7" borderId="40" xfId="8" applyFont="1" applyBorder="1" applyAlignment="1">
      <alignment horizontal="center" vertical="center"/>
    </xf>
    <xf numFmtId="0" fontId="30" fillId="7" borderId="41" xfId="8" applyFont="1" applyBorder="1" applyAlignment="1">
      <alignment horizontal="center" vertical="center"/>
    </xf>
    <xf numFmtId="0" fontId="30" fillId="7" borderId="19" xfId="8" applyFont="1" applyBorder="1" applyAlignment="1">
      <alignment horizontal="center" vertical="center"/>
    </xf>
    <xf numFmtId="0" fontId="30" fillId="7" borderId="40" xfId="8" applyFont="1" applyBorder="1" applyAlignment="1">
      <alignment horizontal="center"/>
    </xf>
    <xf numFmtId="0" fontId="30" fillId="7" borderId="41" xfId="8" applyFont="1" applyBorder="1" applyAlignment="1">
      <alignment horizontal="center" vertical="center"/>
    </xf>
    <xf numFmtId="0" fontId="30" fillId="8" borderId="4" xfId="9" applyFont="1" applyBorder="1" applyAlignment="1">
      <alignment horizontal="center" vertical="center"/>
    </xf>
    <xf numFmtId="0" fontId="30" fillId="8" borderId="43" xfId="9" applyFont="1" applyBorder="1" applyAlignment="1">
      <alignment horizontal="right"/>
    </xf>
    <xf numFmtId="0" fontId="30" fillId="8" borderId="22" xfId="9" applyFont="1" applyBorder="1" applyAlignment="1">
      <alignment horizontal="center" vertical="center"/>
    </xf>
    <xf numFmtId="0" fontId="30" fillId="8" borderId="9" xfId="9" applyFont="1" applyBorder="1" applyAlignment="1">
      <alignment horizontal="center" vertical="center"/>
    </xf>
    <xf numFmtId="0" fontId="30" fillId="8" borderId="10" xfId="9" applyFont="1" applyBorder="1" applyAlignment="1">
      <alignment horizontal="center" vertical="center"/>
    </xf>
    <xf numFmtId="0" fontId="30" fillId="8" borderId="22" xfId="9" applyFont="1" applyBorder="1" applyAlignment="1">
      <alignment horizontal="center" vertical="center"/>
    </xf>
    <xf numFmtId="0" fontId="30" fillId="8" borderId="9" xfId="9" applyFont="1" applyBorder="1" applyAlignment="1">
      <alignment horizontal="center" vertical="center"/>
    </xf>
    <xf numFmtId="0" fontId="30" fillId="8" borderId="11" xfId="9" applyFont="1" applyBorder="1" applyAlignment="1">
      <alignment horizontal="center" vertical="center"/>
    </xf>
    <xf numFmtId="0" fontId="30" fillId="8" borderId="45" xfId="9" applyFont="1" applyBorder="1" applyAlignment="1">
      <alignment horizontal="center" vertical="center"/>
    </xf>
    <xf numFmtId="0" fontId="30" fillId="8" borderId="46" xfId="9" applyFont="1" applyBorder="1" applyAlignment="1">
      <alignment horizontal="right"/>
    </xf>
    <xf numFmtId="0" fontId="30" fillId="8" borderId="23" xfId="9" applyFont="1" applyBorder="1" applyAlignment="1">
      <alignment horizontal="center" vertical="center"/>
    </xf>
    <xf numFmtId="0" fontId="30" fillId="8" borderId="26" xfId="9" applyFont="1" applyBorder="1" applyAlignment="1">
      <alignment horizontal="center" vertical="center"/>
    </xf>
    <xf numFmtId="0" fontId="30" fillId="8" borderId="27" xfId="9" applyFont="1" applyBorder="1" applyAlignment="1">
      <alignment horizontal="center" vertical="center"/>
    </xf>
    <xf numFmtId="0" fontId="36" fillId="0" borderId="0" xfId="3" applyFont="1"/>
    <xf numFmtId="0" fontId="30" fillId="8" borderId="14" xfId="9" applyFont="1" applyBorder="1" applyAlignment="1">
      <alignment horizontal="center" vertical="center"/>
    </xf>
    <xf numFmtId="0" fontId="30" fillId="8" borderId="47" xfId="9" applyFont="1" applyBorder="1" applyAlignment="1">
      <alignment horizontal="right"/>
    </xf>
    <xf numFmtId="0" fontId="30" fillId="8" borderId="40" xfId="9" applyFont="1" applyBorder="1" applyAlignment="1">
      <alignment horizontal="center" vertical="center"/>
    </xf>
    <xf numFmtId="0" fontId="30" fillId="8" borderId="41" xfId="9" applyFont="1" applyBorder="1" applyAlignment="1">
      <alignment horizontal="center" vertical="center"/>
    </xf>
    <xf numFmtId="0" fontId="30" fillId="8" borderId="19" xfId="9" applyFont="1" applyBorder="1" applyAlignment="1">
      <alignment horizontal="center" vertical="center"/>
    </xf>
    <xf numFmtId="0" fontId="30" fillId="8" borderId="40" xfId="9" applyFont="1" applyBorder="1" applyAlignment="1">
      <alignment horizontal="center"/>
    </xf>
    <xf numFmtId="0" fontId="30" fillId="8" borderId="41" xfId="9" applyFont="1" applyBorder="1" applyAlignment="1">
      <alignment horizontal="center" vertical="center"/>
    </xf>
    <xf numFmtId="0" fontId="30" fillId="15" borderId="4" xfId="3" applyFont="1" applyFill="1" applyBorder="1" applyAlignment="1">
      <alignment horizontal="center" vertical="center"/>
    </xf>
    <xf numFmtId="0" fontId="30" fillId="15" borderId="43" xfId="3" applyFont="1" applyFill="1" applyBorder="1" applyAlignment="1">
      <alignment horizontal="right"/>
    </xf>
    <xf numFmtId="0" fontId="30" fillId="15" borderId="22" xfId="3" applyFont="1" applyFill="1" applyBorder="1" applyAlignment="1">
      <alignment horizontal="center" vertical="center"/>
    </xf>
    <xf numFmtId="0" fontId="30" fillId="15" borderId="9" xfId="3" applyFont="1" applyFill="1" applyBorder="1" applyAlignment="1">
      <alignment horizontal="center" vertical="center"/>
    </xf>
    <xf numFmtId="0" fontId="30" fillId="15" borderId="10" xfId="3" applyFont="1" applyFill="1" applyBorder="1" applyAlignment="1">
      <alignment horizontal="center" vertical="center"/>
    </xf>
    <xf numFmtId="0" fontId="30" fillId="15" borderId="22" xfId="3" applyFont="1" applyFill="1" applyBorder="1" applyAlignment="1">
      <alignment horizontal="center" vertical="center"/>
    </xf>
    <xf numFmtId="0" fontId="30" fillId="15" borderId="9" xfId="3" applyFont="1" applyFill="1" applyBorder="1" applyAlignment="1">
      <alignment horizontal="center" vertical="center"/>
    </xf>
    <xf numFmtId="0" fontId="30" fillId="15" borderId="11" xfId="3" applyFont="1" applyFill="1" applyBorder="1" applyAlignment="1">
      <alignment horizontal="center" vertical="center"/>
    </xf>
    <xf numFmtId="0" fontId="37" fillId="0" borderId="0" xfId="3" applyFont="1"/>
    <xf numFmtId="0" fontId="30" fillId="15" borderId="46" xfId="3" applyFont="1" applyFill="1" applyBorder="1" applyAlignment="1">
      <alignment horizontal="right"/>
    </xf>
    <xf numFmtId="0" fontId="30" fillId="15" borderId="23" xfId="3" applyFont="1" applyFill="1" applyBorder="1" applyAlignment="1">
      <alignment horizontal="center" vertical="center"/>
    </xf>
    <xf numFmtId="0" fontId="30" fillId="15" borderId="26" xfId="3" applyFont="1" applyFill="1" applyBorder="1" applyAlignment="1">
      <alignment horizontal="center" vertical="center"/>
    </xf>
    <xf numFmtId="0" fontId="30" fillId="15" borderId="27" xfId="3" applyFont="1" applyFill="1" applyBorder="1" applyAlignment="1">
      <alignment horizontal="center" vertical="center"/>
    </xf>
    <xf numFmtId="0" fontId="30" fillId="15" borderId="48" xfId="3" applyFont="1" applyFill="1" applyBorder="1" applyAlignment="1">
      <alignment horizontal="right"/>
    </xf>
    <xf numFmtId="0" fontId="30" fillId="15" borderId="15" xfId="3" applyFont="1" applyFill="1" applyBorder="1" applyAlignment="1">
      <alignment horizontal="center" vertical="center"/>
    </xf>
    <xf numFmtId="0" fontId="30" fillId="15" borderId="16" xfId="3" applyFont="1" applyFill="1" applyBorder="1" applyAlignment="1">
      <alignment horizontal="center" vertical="center"/>
    </xf>
    <xf numFmtId="0" fontId="30" fillId="15" borderId="49" xfId="3" applyFont="1" applyFill="1" applyBorder="1" applyAlignment="1">
      <alignment horizontal="center" vertical="center"/>
    </xf>
    <xf numFmtId="0" fontId="30" fillId="15" borderId="40" xfId="3" applyFont="1" applyFill="1" applyBorder="1" applyAlignment="1">
      <alignment horizontal="center"/>
    </xf>
    <xf numFmtId="0" fontId="30" fillId="15" borderId="41" xfId="3" applyFont="1" applyFill="1" applyBorder="1" applyAlignment="1">
      <alignment horizontal="center" vertical="center"/>
    </xf>
    <xf numFmtId="0" fontId="30" fillId="2" borderId="4" xfId="10" applyFont="1" applyBorder="1" applyAlignment="1">
      <alignment horizontal="center" vertical="center"/>
    </xf>
    <xf numFmtId="0" fontId="30" fillId="2" borderId="43" xfId="10" applyFont="1" applyBorder="1" applyAlignment="1">
      <alignment horizontal="right"/>
    </xf>
    <xf numFmtId="0" fontId="30" fillId="2" borderId="8" xfId="10" applyFont="1" applyBorder="1" applyAlignment="1">
      <alignment vertical="center"/>
    </xf>
    <xf numFmtId="0" fontId="30" fillId="2" borderId="9" xfId="10" applyFont="1" applyBorder="1" applyAlignment="1">
      <alignment vertical="center"/>
    </xf>
    <xf numFmtId="0" fontId="30" fillId="2" borderId="10" xfId="10" applyFont="1" applyBorder="1" applyAlignment="1">
      <alignment vertical="center"/>
    </xf>
    <xf numFmtId="0" fontId="30" fillId="2" borderId="35" xfId="10" applyFont="1" applyBorder="1" applyAlignment="1">
      <alignment vertical="center"/>
    </xf>
    <xf numFmtId="0" fontId="30" fillId="2" borderId="36" xfId="10" applyFont="1" applyBorder="1" applyAlignment="1">
      <alignment horizontal="center" vertical="center"/>
    </xf>
    <xf numFmtId="0" fontId="30" fillId="2" borderId="37" xfId="10" applyFont="1" applyBorder="1" applyAlignment="1">
      <alignment horizontal="center" vertical="center"/>
    </xf>
    <xf numFmtId="0" fontId="30" fillId="2" borderId="45" xfId="10" applyFont="1" applyBorder="1" applyAlignment="1">
      <alignment horizontal="center" vertical="center"/>
    </xf>
    <xf numFmtId="0" fontId="30" fillId="2" borderId="46" xfId="10" applyFont="1" applyBorder="1" applyAlignment="1">
      <alignment horizontal="right"/>
    </xf>
    <xf numFmtId="0" fontId="30" fillId="2" borderId="25" xfId="10" applyFont="1" applyBorder="1" applyAlignment="1">
      <alignment vertical="center"/>
    </xf>
    <xf numFmtId="0" fontId="30" fillId="2" borderId="26" xfId="10" applyFont="1" applyBorder="1" applyAlignment="1">
      <alignment vertical="center"/>
    </xf>
    <xf numFmtId="0" fontId="30" fillId="2" borderId="27" xfId="10" applyFont="1" applyBorder="1" applyAlignment="1">
      <alignment vertical="center"/>
    </xf>
    <xf numFmtId="0" fontId="7" fillId="0" borderId="23" xfId="3" applyBorder="1"/>
    <xf numFmtId="0" fontId="30" fillId="2" borderId="14" xfId="10" applyFont="1" applyBorder="1" applyAlignment="1">
      <alignment horizontal="center" vertical="center"/>
    </xf>
    <xf numFmtId="0" fontId="30" fillId="2" borderId="47" xfId="10" applyFont="1" applyBorder="1" applyAlignment="1">
      <alignment horizontal="right"/>
    </xf>
    <xf numFmtId="0" fontId="30" fillId="2" borderId="21" xfId="10" applyFont="1" applyBorder="1" applyAlignment="1">
      <alignment vertical="center"/>
    </xf>
    <xf numFmtId="0" fontId="30" fillId="2" borderId="41" xfId="10" applyFont="1" applyBorder="1" applyAlignment="1">
      <alignment vertical="center"/>
    </xf>
    <xf numFmtId="0" fontId="30" fillId="2" borderId="19" xfId="10" applyFont="1" applyBorder="1" applyAlignment="1">
      <alignment vertical="center"/>
    </xf>
    <xf numFmtId="0" fontId="30" fillId="2" borderId="40" xfId="10" applyFont="1" applyBorder="1" applyAlignment="1">
      <alignment horizontal="center"/>
    </xf>
    <xf numFmtId="0" fontId="30" fillId="2" borderId="41" xfId="10" applyFont="1" applyBorder="1" applyAlignment="1">
      <alignment horizontal="center"/>
    </xf>
    <xf numFmtId="0" fontId="7" fillId="0" borderId="41" xfId="3" applyBorder="1" applyAlignment="1">
      <alignment horizontal="center"/>
    </xf>
    <xf numFmtId="0" fontId="7" fillId="0" borderId="42" xfId="3" applyBorder="1" applyAlignment="1">
      <alignment horizontal="center"/>
    </xf>
  </cellXfs>
  <cellStyles count="11">
    <cellStyle name="一般 2 2" xfId="3" xr:uid="{91F6F942-F538-4C8B-A554-61C1DAC9AAD5}"/>
    <cellStyle name="常规" xfId="0" builtinId="0"/>
    <cellStyle name="常规 2" xfId="2" xr:uid="{EB005A87-818E-4A1A-8791-B6B175CB0488}"/>
    <cellStyle name="常规 2 2 2" xfId="1" xr:uid="{AC883936-F6F1-4112-ACF5-33ABD2CFE295}"/>
    <cellStyle name="着色 1 2" xfId="4" xr:uid="{15982F4B-C910-45F0-AFD6-DECC14C842DA}"/>
    <cellStyle name="着色 2 2" xfId="5" xr:uid="{5E58AB77-4742-4D6A-9BEE-FE749E020A3E}"/>
    <cellStyle name="着色 3 2" xfId="6" xr:uid="{7BE35D21-2CA7-4E73-B81D-031C32CCCBA0}"/>
    <cellStyle name="着色 4 2" xfId="7" xr:uid="{AEDEFD5B-7EE7-475D-A202-3FA5E463CC5E}"/>
    <cellStyle name="着色 5 2" xfId="8" xr:uid="{6D6131A3-1976-4087-9E2F-45655F00D5D7}"/>
    <cellStyle name="着色 6 2" xfId="9" xr:uid="{03FA9ECA-0F42-4C8A-9708-E2CFF6E102F4}"/>
    <cellStyle name="備註 2" xfId="10" xr:uid="{E988EC1D-62AD-4A02-B1B0-518AE55043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165100</xdr:colOff>
          <xdr:row>19</xdr:row>
          <xdr:rowOff>38100</xdr:rowOff>
        </xdr:from>
        <xdr:to>
          <xdr:col>23</xdr:col>
          <xdr:colOff>723900</xdr:colOff>
          <xdr:row>20</xdr:row>
          <xdr:rowOff>2117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B056A71F-7089-4A3B-96DD-012D236C4E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622300</xdr:colOff>
          <xdr:row>19</xdr:row>
          <xdr:rowOff>57150</xdr:rowOff>
        </xdr:from>
        <xdr:to>
          <xdr:col>34</xdr:col>
          <xdr:colOff>31750</xdr:colOff>
          <xdr:row>33</xdr:row>
          <xdr:rowOff>117123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AA2D0708-0A3D-4F7D-89CE-2705E2CF9B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2</xdr:row>
          <xdr:rowOff>171450</xdr:rowOff>
        </xdr:from>
        <xdr:to>
          <xdr:col>6</xdr:col>
          <xdr:colOff>148167</xdr:colOff>
          <xdr:row>2</xdr:row>
          <xdr:rowOff>450850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42326DF8-DAA0-4C95-8B4C-1DF8BC44E0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2322B-8CB3-459B-A5C5-A55A57D406EF}">
  <dimension ref="A1:AG55"/>
  <sheetViews>
    <sheetView tabSelected="1" zoomScale="90" zoomScaleNormal="90" workbookViewId="0">
      <selection activeCell="L17" sqref="L17"/>
    </sheetView>
  </sheetViews>
  <sheetFormatPr defaultColWidth="9" defaultRowHeight="14"/>
  <cols>
    <col min="1" max="1" width="17.83203125" style="3" bestFit="1" customWidth="1"/>
    <col min="2" max="2" width="5.58203125" style="3" bestFit="1" customWidth="1"/>
    <col min="3" max="3" width="14.33203125" style="3" bestFit="1" customWidth="1"/>
    <col min="4" max="4" width="10" style="3" customWidth="1"/>
    <col min="5" max="5" width="14.75" style="3" customWidth="1"/>
    <col min="6" max="6" width="11.58203125" style="3" bestFit="1" customWidth="1"/>
    <col min="7" max="7" width="6.33203125" style="3" bestFit="1" customWidth="1"/>
    <col min="8" max="24" width="14.33203125" style="3" bestFit="1" customWidth="1"/>
    <col min="25" max="25" width="15.25" style="3" bestFit="1" customWidth="1"/>
    <col min="26" max="26" width="6.33203125" style="3" bestFit="1" customWidth="1"/>
    <col min="27" max="27" width="4.08203125" style="3" bestFit="1" customWidth="1"/>
    <col min="28" max="209" width="10" style="3" customWidth="1"/>
    <col min="210" max="16384" width="9" style="3"/>
  </cols>
  <sheetData>
    <row r="1" spans="1:23" ht="15.5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6" thickBot="1">
      <c r="A2" s="1"/>
      <c r="B2" s="4"/>
      <c r="C2" s="5"/>
      <c r="D2" s="6"/>
      <c r="E2" s="6"/>
      <c r="F2" s="6"/>
      <c r="G2" s="6"/>
      <c r="H2" s="5"/>
      <c r="I2" s="5"/>
      <c r="J2" s="5"/>
      <c r="K2" s="5"/>
      <c r="L2" s="5"/>
      <c r="M2" s="5"/>
      <c r="N2" s="5"/>
      <c r="O2" s="7"/>
      <c r="P2" s="7"/>
      <c r="Q2" s="8"/>
      <c r="R2" s="5"/>
      <c r="S2" s="8"/>
      <c r="T2" s="8"/>
      <c r="U2" s="5"/>
      <c r="V2" s="9"/>
      <c r="W2" s="9"/>
    </row>
    <row r="3" spans="1:23" ht="36" customHeight="1">
      <c r="A3" s="10"/>
      <c r="B3" s="11"/>
      <c r="C3" s="12" t="s">
        <v>1</v>
      </c>
      <c r="D3" s="13" t="s">
        <v>2</v>
      </c>
      <c r="E3" s="14"/>
      <c r="F3" s="14"/>
      <c r="G3" s="15"/>
      <c r="H3" s="16" t="s">
        <v>3</v>
      </c>
      <c r="I3" s="17" t="s">
        <v>4</v>
      </c>
      <c r="J3" s="18" t="s">
        <v>5</v>
      </c>
      <c r="K3" s="19"/>
      <c r="L3" s="20"/>
      <c r="M3" s="21" t="s">
        <v>6</v>
      </c>
      <c r="N3" s="21" t="s">
        <v>7</v>
      </c>
      <c r="O3" s="22" t="s">
        <v>8</v>
      </c>
      <c r="P3" s="20"/>
      <c r="Q3" s="17" t="s">
        <v>9</v>
      </c>
      <c r="R3" s="21" t="s">
        <v>10</v>
      </c>
      <c r="S3" s="22" t="s">
        <v>11</v>
      </c>
      <c r="T3" s="20"/>
      <c r="U3" s="17" t="s">
        <v>12</v>
      </c>
      <c r="V3" s="23" t="s">
        <v>13</v>
      </c>
      <c r="W3" s="24"/>
    </row>
    <row r="4" spans="1:23" ht="16.5" customHeight="1" thickBot="1">
      <c r="A4" s="25"/>
      <c r="B4" s="26"/>
      <c r="C4" s="27"/>
      <c r="D4" s="28" t="s">
        <v>14</v>
      </c>
      <c r="E4" s="29" t="s">
        <v>15</v>
      </c>
      <c r="F4" s="29" t="s">
        <v>16</v>
      </c>
      <c r="G4" s="30" t="s">
        <v>17</v>
      </c>
      <c r="H4" s="31" t="s">
        <v>18</v>
      </c>
      <c r="I4" s="29" t="s">
        <v>19</v>
      </c>
      <c r="J4" s="32" t="s">
        <v>20</v>
      </c>
      <c r="K4" s="33"/>
      <c r="L4" s="34"/>
      <c r="M4" s="29" t="s">
        <v>21</v>
      </c>
      <c r="N4" s="29" t="s">
        <v>22</v>
      </c>
      <c r="O4" s="29" t="s">
        <v>23</v>
      </c>
      <c r="P4" s="29" t="s">
        <v>24</v>
      </c>
      <c r="Q4" s="29" t="s">
        <v>25</v>
      </c>
      <c r="R4" s="29" t="s">
        <v>26</v>
      </c>
      <c r="S4" s="32" t="s">
        <v>27</v>
      </c>
      <c r="T4" s="34"/>
      <c r="U4" s="29" t="s">
        <v>28</v>
      </c>
      <c r="V4" s="30" t="s">
        <v>29</v>
      </c>
      <c r="W4" s="5"/>
    </row>
    <row r="5" spans="1:23" ht="25.5" customHeight="1">
      <c r="A5" s="35" t="s">
        <v>30</v>
      </c>
      <c r="B5" s="36" t="s">
        <v>31</v>
      </c>
      <c r="C5" s="37" t="s">
        <v>32</v>
      </c>
      <c r="D5" s="38">
        <f ca="1">OFFSET($X$22,MATCH(C5,$E$23:$E$46,0),,,1)</f>
        <v>3.9678411655333003E-3</v>
      </c>
      <c r="E5" s="39">
        <f ca="1">OFFSET($Y$22,MATCH(C5,$E$23:$E$46,0),,,1)</f>
        <v>-5.8493099099554416E-7</v>
      </c>
      <c r="F5" s="40">
        <f ca="1">OFFSET($Z$22,MATCH(C5,$E$23:$E$46,0),,,1)</f>
        <v>9.83</v>
      </c>
      <c r="G5" s="41">
        <f ca="1">OFFSET($AA$22,MATCH(C5,$E$23:$E$46,0),,,1)</f>
        <v>0</v>
      </c>
      <c r="H5" s="42">
        <v>1150</v>
      </c>
      <c r="I5" s="43">
        <f ca="1">F5*(1+D5*(H5-G5)+E5*(H5-G5)^2)</f>
        <v>47.080255209905694</v>
      </c>
      <c r="J5" s="44">
        <v>266.18</v>
      </c>
      <c r="K5" s="44"/>
      <c r="L5" s="44"/>
      <c r="M5" s="44">
        <v>129</v>
      </c>
      <c r="N5" s="44">
        <v>0.7</v>
      </c>
      <c r="O5" s="45">
        <f>J5*N5</f>
        <v>186.32599999999999</v>
      </c>
      <c r="P5" s="45">
        <f>O5/$O$5</f>
        <v>1</v>
      </c>
      <c r="Q5" s="46">
        <f ca="1">I5*10*M5/O5</f>
        <v>325.95305658243262</v>
      </c>
      <c r="R5" s="44">
        <v>6</v>
      </c>
      <c r="S5" s="46">
        <f>O5*R5</f>
        <v>1117.9559999999999</v>
      </c>
      <c r="T5" s="46"/>
      <c r="U5" s="47">
        <f ca="1">Q5/1000000*S5</f>
        <v>0.36440117532466998</v>
      </c>
      <c r="V5" s="48">
        <f ca="1">U5*S5/1000</f>
        <v>0.40738448036126668</v>
      </c>
      <c r="W5" s="49"/>
    </row>
    <row r="6" spans="1:23" ht="25.5" customHeight="1">
      <c r="A6" s="50"/>
      <c r="B6" s="51" t="s">
        <v>33</v>
      </c>
      <c r="C6" s="52" t="s">
        <v>32</v>
      </c>
      <c r="D6" s="53">
        <f ca="1">OFFSET($X$22,MATCH(C6,$E$23:$E$46,0),,,1)</f>
        <v>3.9678411655333003E-3</v>
      </c>
      <c r="E6" s="54">
        <f ca="1">OFFSET($Y$22,MATCH(C6,$E$23:$E$46,0),,,1)</f>
        <v>-5.8493099099554416E-7</v>
      </c>
      <c r="F6" s="55">
        <f ca="1">OFFSET($Z$22,MATCH(C6,$E$23:$E$46,0),,,1)</f>
        <v>9.83</v>
      </c>
      <c r="G6" s="56">
        <f ca="1">OFFSET($AA$22,MATCH(C6,$E$23:$E$46,0),,,1)</f>
        <v>0</v>
      </c>
      <c r="H6" s="57">
        <v>1150</v>
      </c>
      <c r="I6" s="58">
        <f ca="1">F6*(1+D6*(H6-G6)+E6*(H6-G6)^2)</f>
        <v>47.080255209905694</v>
      </c>
      <c r="J6" s="59">
        <v>133</v>
      </c>
      <c r="K6" s="59"/>
      <c r="L6" s="60"/>
      <c r="M6" s="59">
        <v>435</v>
      </c>
      <c r="N6" s="59">
        <v>1.3</v>
      </c>
      <c r="O6" s="61">
        <f>J6*N6</f>
        <v>172.9</v>
      </c>
      <c r="P6" s="61">
        <f>O6/$O$5</f>
        <v>0.92794349688180933</v>
      </c>
      <c r="Q6" s="62">
        <f ca="1">I6*10*M6/O6</f>
        <v>1184.4945642746661</v>
      </c>
      <c r="R6" s="63">
        <f>$S$5/O6</f>
        <v>6.4659109311740881</v>
      </c>
      <c r="S6" s="62">
        <f>O6*R6</f>
        <v>1117.9559999999999</v>
      </c>
      <c r="T6" s="64"/>
      <c r="U6" s="65">
        <f ca="1">Q6/1000000*S6</f>
        <v>1.3242128050982487</v>
      </c>
      <c r="V6" s="66">
        <f ca="1">U6*S6/1000</f>
        <v>1.4804116507364176</v>
      </c>
      <c r="W6" s="49"/>
    </row>
    <row r="7" spans="1:23" ht="25.5" customHeight="1" thickBot="1">
      <c r="A7" s="50"/>
      <c r="B7" s="67" t="s">
        <v>34</v>
      </c>
      <c r="C7" s="68" t="s">
        <v>32</v>
      </c>
      <c r="D7" s="69">
        <f ca="1">OFFSET($X$22,MATCH(C7,$E$23:$E$46,0),,,1)</f>
        <v>3.9678411655333003E-3</v>
      </c>
      <c r="E7" s="70">
        <f ca="1">OFFSET($Y$22,MATCH(C7,$E$23:$E$46,0),,,1)</f>
        <v>-5.8493099099554416E-7</v>
      </c>
      <c r="F7" s="71">
        <f ca="1">OFFSET($Z$22,MATCH(C7,$E$23:$E$46,0),,,1)</f>
        <v>9.83</v>
      </c>
      <c r="G7" s="72">
        <f ca="1">OFFSET($AA$22,MATCH(C7,$E$23:$E$46,0),,,1)</f>
        <v>0</v>
      </c>
      <c r="H7" s="73">
        <v>1150</v>
      </c>
      <c r="I7" s="74">
        <f ca="1">F7*(1+D7*(H7-G7)+E7*(H7-G7)^2)</f>
        <v>47.080255209905694</v>
      </c>
      <c r="J7" s="75">
        <v>133</v>
      </c>
      <c r="K7" s="75"/>
      <c r="L7" s="75"/>
      <c r="M7" s="75">
        <v>435</v>
      </c>
      <c r="N7" s="75">
        <v>2</v>
      </c>
      <c r="O7" s="76">
        <f>J7*N7</f>
        <v>266</v>
      </c>
      <c r="P7" s="76">
        <f>O7/$O$5</f>
        <v>1.4276053798181683</v>
      </c>
      <c r="Q7" s="77">
        <f ca="1">I7*10*M7/O7</f>
        <v>769.92146677853293</v>
      </c>
      <c r="R7" s="78">
        <f>$S$5/O7</f>
        <v>4.2028421052631577</v>
      </c>
      <c r="S7" s="77">
        <f>O7*R7</f>
        <v>1117.9559999999999</v>
      </c>
      <c r="T7" s="79"/>
      <c r="U7" s="80">
        <f ca="1">Q7/1000000*S7</f>
        <v>0.86073832331386146</v>
      </c>
      <c r="V7" s="81">
        <f ca="1">U7*S7/1000</f>
        <v>0.96226757297867116</v>
      </c>
      <c r="W7" s="49"/>
    </row>
    <row r="8" spans="1:23" ht="25.5" customHeight="1" thickBot="1">
      <c r="A8" s="82"/>
      <c r="B8" s="83"/>
      <c r="U8" s="84">
        <f ca="1">SUM(U5:U7)</f>
        <v>2.54935230373678</v>
      </c>
      <c r="V8" s="85">
        <f ca="1">SUM(V5:V7)</f>
        <v>2.8500637040763555</v>
      </c>
      <c r="W8" s="86"/>
    </row>
    <row r="9" spans="1:23" ht="25.5" customHeight="1">
      <c r="A9" s="35" t="s">
        <v>35</v>
      </c>
      <c r="B9" s="87" t="s">
        <v>36</v>
      </c>
      <c r="C9" s="37" t="s">
        <v>32</v>
      </c>
      <c r="D9" s="38">
        <f ca="1">OFFSET($X$22,MATCH(C9,$E$23:$E$46,0),,,1)</f>
        <v>3.9678411655333003E-3</v>
      </c>
      <c r="E9" s="39">
        <f ca="1">OFFSET($Y$22,MATCH(C9,$E$23:$E$46,0),,,1)</f>
        <v>-5.8493099099554416E-7</v>
      </c>
      <c r="F9" s="40">
        <f ca="1">OFFSET($Z$22,MATCH(C9,$E$23:$E$46,0),,,1)</f>
        <v>9.83</v>
      </c>
      <c r="G9" s="41">
        <f ca="1">OFFSET($AA$22,MATCH(C9,$E$23:$E$46,0),,,1)</f>
        <v>0</v>
      </c>
      <c r="H9" s="42">
        <v>1150</v>
      </c>
      <c r="I9" s="43">
        <f ca="1">F9*(1+D9*(H9-G9)+E9*(H9-G9)^2)</f>
        <v>47.080255209905694</v>
      </c>
      <c r="J9" s="44">
        <f>J5</f>
        <v>266.18</v>
      </c>
      <c r="K9" s="44"/>
      <c r="L9" s="44"/>
      <c r="M9" s="44">
        <v>351</v>
      </c>
      <c r="N9" s="44">
        <f>N5</f>
        <v>0.7</v>
      </c>
      <c r="O9" s="45">
        <f>J9*N9</f>
        <v>186.32599999999999</v>
      </c>
      <c r="P9" s="45">
        <f>O9/$O$5</f>
        <v>1</v>
      </c>
      <c r="Q9" s="46">
        <f ca="1">I9*10*M9/O9</f>
        <v>886.89552604987489</v>
      </c>
      <c r="R9" s="44">
        <f>R5</f>
        <v>6</v>
      </c>
      <c r="S9" s="46">
        <f>O9*R9</f>
        <v>1117.9559999999999</v>
      </c>
      <c r="T9" s="46"/>
      <c r="U9" s="47">
        <f ca="1">Q9/1000000*S9</f>
        <v>0.99151017472061376</v>
      </c>
      <c r="V9" s="48">
        <f ca="1">U9*S9/1000</f>
        <v>1.1084647488899584</v>
      </c>
    </row>
    <row r="10" spans="1:23" ht="25.5" customHeight="1">
      <c r="A10" s="50"/>
      <c r="B10" s="51" t="s">
        <v>37</v>
      </c>
      <c r="C10" s="52" t="s">
        <v>32</v>
      </c>
      <c r="D10" s="53">
        <f ca="1">OFFSET($X$22,MATCH(C10,$E$23:$E$46,0),,,1)</f>
        <v>3.9678411655333003E-3</v>
      </c>
      <c r="E10" s="54">
        <f ca="1">OFFSET($Y$22,MATCH(C10,$E$23:$E$46,0),,,1)</f>
        <v>-5.8493099099554416E-7</v>
      </c>
      <c r="F10" s="55">
        <f ca="1">OFFSET($Z$22,MATCH(C10,$E$23:$E$46,0),,,1)</f>
        <v>9.83</v>
      </c>
      <c r="G10" s="56">
        <f ca="1">OFFSET($AA$22,MATCH(C10,$E$23:$E$46,0),,,1)</f>
        <v>0</v>
      </c>
      <c r="H10" s="57">
        <v>1150</v>
      </c>
      <c r="I10" s="58">
        <f ca="1">F10*(1+D10*(H10-G10)+E10*(H10-G10)^2)</f>
        <v>47.080255209905694</v>
      </c>
      <c r="J10" s="59">
        <v>133</v>
      </c>
      <c r="K10" s="59"/>
      <c r="L10" s="60"/>
      <c r="M10" s="59">
        <v>435</v>
      </c>
      <c r="N10" s="59">
        <f>N7</f>
        <v>2</v>
      </c>
      <c r="O10" s="61">
        <f>J10*N10</f>
        <v>266</v>
      </c>
      <c r="P10" s="61">
        <f>O10/$O$5</f>
        <v>1.4276053798181683</v>
      </c>
      <c r="Q10" s="62">
        <f ca="1">I10*10*M10/O10</f>
        <v>769.92146677853293</v>
      </c>
      <c r="R10" s="63">
        <f>T10/O10</f>
        <v>6.3042631578947361</v>
      </c>
      <c r="S10" s="62">
        <f>O10*R10</f>
        <v>1676.9339999999997</v>
      </c>
      <c r="T10" s="88">
        <f>(S5+S9)/2*1.5</f>
        <v>1676.9339999999997</v>
      </c>
      <c r="U10" s="65">
        <f ca="1">Q10/1000000*S10</f>
        <v>1.2911074849707922</v>
      </c>
      <c r="V10" s="66">
        <f ca="1">U10*S10/1000</f>
        <v>2.1651020392020102</v>
      </c>
    </row>
    <row r="11" spans="1:23" ht="25.5" customHeight="1" thickBot="1">
      <c r="A11" s="50"/>
      <c r="B11" s="67" t="s">
        <v>38</v>
      </c>
      <c r="C11" s="68" t="s">
        <v>32</v>
      </c>
      <c r="D11" s="69">
        <f ca="1">OFFSET($X$22,MATCH(C11,$E$23:$E$46,0),,,1)</f>
        <v>3.9678411655333003E-3</v>
      </c>
      <c r="E11" s="70">
        <f ca="1">OFFSET($Y$22,MATCH(C11,$E$23:$E$46,0),,,1)</f>
        <v>-5.8493099099554416E-7</v>
      </c>
      <c r="F11" s="71">
        <f ca="1">OFFSET($Z$22,MATCH(C11,$E$23:$E$46,0),,,1)</f>
        <v>9.83</v>
      </c>
      <c r="G11" s="72">
        <f ca="1">OFFSET($AA$22,MATCH(C11,$E$23:$E$46,0),,,1)</f>
        <v>0</v>
      </c>
      <c r="H11" s="73">
        <v>1150</v>
      </c>
      <c r="I11" s="74">
        <f ca="1">F11*(1+D11*(H11-G11)+E11*(H11-G11)^2)</f>
        <v>47.080255209905694</v>
      </c>
      <c r="J11" s="75">
        <v>133</v>
      </c>
      <c r="K11" s="75"/>
      <c r="L11" s="75"/>
      <c r="M11" s="75">
        <v>435</v>
      </c>
      <c r="N11" s="75">
        <f>N10</f>
        <v>2</v>
      </c>
      <c r="O11" s="76">
        <f>J11*N11</f>
        <v>266</v>
      </c>
      <c r="P11" s="76">
        <f>O11/$O$5</f>
        <v>1.4276053798181683</v>
      </c>
      <c r="Q11" s="77">
        <f ca="1">I11*10*M11/O11</f>
        <v>769.92146677853293</v>
      </c>
      <c r="R11" s="78">
        <f>T11/O11</f>
        <v>6.3042631578947361</v>
      </c>
      <c r="S11" s="77">
        <f>O11*R11</f>
        <v>1676.9339999999997</v>
      </c>
      <c r="T11" s="89">
        <f>(S9+S13)/2*1.5</f>
        <v>1676.9339999999997</v>
      </c>
      <c r="U11" s="80">
        <f ca="1">Q11/1000000*S11</f>
        <v>1.2911074849707922</v>
      </c>
      <c r="V11" s="81">
        <f ca="1">U11*S11/1000</f>
        <v>2.1651020392020102</v>
      </c>
    </row>
    <row r="12" spans="1:23" ht="25.5" customHeight="1" thickBot="1">
      <c r="A12" s="82"/>
      <c r="B12" s="83"/>
      <c r="U12" s="84">
        <f ca="1">SUM(U9:U11)</f>
        <v>3.5737251446621983</v>
      </c>
      <c r="V12" s="85">
        <f ca="1">SUM(V9:V11)</f>
        <v>5.4386688272939789</v>
      </c>
    </row>
    <row r="13" spans="1:23" ht="25.5" customHeight="1">
      <c r="A13" s="35" t="s">
        <v>39</v>
      </c>
      <c r="B13" s="87" t="s">
        <v>40</v>
      </c>
      <c r="C13" s="37" t="s">
        <v>32</v>
      </c>
      <c r="D13" s="38">
        <f ca="1">OFFSET($X$22,MATCH(C13,$E$23:$E$46,0),,,1)</f>
        <v>3.9678411655333003E-3</v>
      </c>
      <c r="E13" s="39">
        <f ca="1">OFFSET($Y$22,MATCH(C13,$E$23:$E$46,0),,,1)</f>
        <v>-5.8493099099554416E-7</v>
      </c>
      <c r="F13" s="40">
        <f ca="1">OFFSET($Z$22,MATCH(C13,$E$23:$E$46,0),,,1)</f>
        <v>9.83</v>
      </c>
      <c r="G13" s="41">
        <f ca="1">OFFSET($AA$22,MATCH(C13,$E$23:$E$46,0),,,1)</f>
        <v>0</v>
      </c>
      <c r="H13" s="42">
        <v>1150</v>
      </c>
      <c r="I13" s="43">
        <f ca="1">F13*(1+D13*(H13-G13)+E13*(H13-G13)^2)</f>
        <v>47.080255209905694</v>
      </c>
      <c r="J13" s="44">
        <f>J9</f>
        <v>266.18</v>
      </c>
      <c r="K13" s="44"/>
      <c r="L13" s="44"/>
      <c r="M13" s="44">
        <v>129</v>
      </c>
      <c r="N13" s="44">
        <f>N9</f>
        <v>0.7</v>
      </c>
      <c r="O13" s="45">
        <f>J13*N13</f>
        <v>186.32599999999999</v>
      </c>
      <c r="P13" s="45">
        <f>O13/$O$5</f>
        <v>1</v>
      </c>
      <c r="Q13" s="46">
        <f ca="1">I13*10*M13/O13</f>
        <v>325.95305658243262</v>
      </c>
      <c r="R13" s="44">
        <f>R5</f>
        <v>6</v>
      </c>
      <c r="S13" s="46">
        <f>O13*R13</f>
        <v>1117.9559999999999</v>
      </c>
      <c r="T13" s="46"/>
      <c r="U13" s="47">
        <f ca="1">Q13/1000000*S13</f>
        <v>0.36440117532466998</v>
      </c>
      <c r="V13" s="48">
        <f ca="1">U13*S13/1000</f>
        <v>0.40738448036126668</v>
      </c>
    </row>
    <row r="14" spans="1:23" ht="25.5" customHeight="1">
      <c r="A14" s="50"/>
      <c r="B14" s="51" t="s">
        <v>41</v>
      </c>
      <c r="C14" s="52" t="s">
        <v>32</v>
      </c>
      <c r="D14" s="53">
        <f ca="1">OFFSET($X$22,MATCH(C14,$E$23:$E$46,0),,,1)</f>
        <v>3.9678411655333003E-3</v>
      </c>
      <c r="E14" s="54">
        <f ca="1">OFFSET($Y$22,MATCH(C14,$E$23:$E$46,0),,,1)</f>
        <v>-5.8493099099554416E-7</v>
      </c>
      <c r="F14" s="55">
        <f ca="1">OFFSET($Z$22,MATCH(C14,$E$23:$E$46,0),,,1)</f>
        <v>9.83</v>
      </c>
      <c r="G14" s="56">
        <f ca="1">OFFSET($AA$22,MATCH(C14,$E$23:$E$46,0),,,1)</f>
        <v>0</v>
      </c>
      <c r="H14" s="57">
        <v>1150</v>
      </c>
      <c r="I14" s="58">
        <f ca="1">F14*(1+D14*(H14-G14)+E14*(H14-G14)^2)</f>
        <v>47.080255209905694</v>
      </c>
      <c r="J14" s="59">
        <v>133</v>
      </c>
      <c r="K14" s="59"/>
      <c r="L14" s="60"/>
      <c r="M14" s="59">
        <v>435</v>
      </c>
      <c r="N14" s="59">
        <f>N11</f>
        <v>2</v>
      </c>
      <c r="O14" s="61">
        <f>J14*N14</f>
        <v>266</v>
      </c>
      <c r="P14" s="61">
        <f>O14/$O$5</f>
        <v>1.4276053798181683</v>
      </c>
      <c r="Q14" s="62">
        <f ca="1">I14*10*M14/O14</f>
        <v>769.92146677853293</v>
      </c>
      <c r="R14" s="63">
        <f>S13/O14</f>
        <v>4.2028421052631577</v>
      </c>
      <c r="S14" s="62">
        <f>O14*R14</f>
        <v>1117.9559999999999</v>
      </c>
      <c r="T14" s="88"/>
      <c r="U14" s="65">
        <f ca="1">Q14/1000000*S14</f>
        <v>0.86073832331386146</v>
      </c>
      <c r="V14" s="66">
        <f ca="1">U14*S14/1000</f>
        <v>0.96226757297867116</v>
      </c>
    </row>
    <row r="15" spans="1:23" ht="25.5" customHeight="1" thickBot="1">
      <c r="A15" s="50"/>
      <c r="B15" s="67" t="s">
        <v>42</v>
      </c>
      <c r="C15" s="68" t="s">
        <v>32</v>
      </c>
      <c r="D15" s="69">
        <f ca="1">OFFSET($X$22,MATCH(C15,$E$23:$E$46,0),,,1)</f>
        <v>3.9678411655333003E-3</v>
      </c>
      <c r="E15" s="70">
        <f ca="1">OFFSET($Y$22,MATCH(C15,$E$23:$E$46,0),,,1)</f>
        <v>-5.8493099099554416E-7</v>
      </c>
      <c r="F15" s="71">
        <f ca="1">OFFSET($Z$22,MATCH(C15,$E$23:$E$46,0),,,1)</f>
        <v>9.83</v>
      </c>
      <c r="G15" s="72">
        <f ca="1">OFFSET($AA$22,MATCH(C15,$E$23:$E$46,0),,,1)</f>
        <v>0</v>
      </c>
      <c r="H15" s="73">
        <v>1150</v>
      </c>
      <c r="I15" s="74">
        <f ca="1">F15*(1+D15*(H15-G15)+E15*(H15-G15)^2)</f>
        <v>47.080255209905694</v>
      </c>
      <c r="J15" s="75">
        <v>133</v>
      </c>
      <c r="K15" s="75"/>
      <c r="L15" s="75"/>
      <c r="M15" s="75">
        <v>435</v>
      </c>
      <c r="N15" s="75">
        <f>N6</f>
        <v>1.3</v>
      </c>
      <c r="O15" s="76">
        <f>J15*N15</f>
        <v>172.9</v>
      </c>
      <c r="P15" s="76">
        <f>O15/$O$5</f>
        <v>0.92794349688180933</v>
      </c>
      <c r="Q15" s="77">
        <f ca="1">I15*10*M15/O15</f>
        <v>1184.4945642746661</v>
      </c>
      <c r="R15" s="78">
        <f>$S$9/O15</f>
        <v>6.4659109311740881</v>
      </c>
      <c r="S15" s="77">
        <f>O15*R15</f>
        <v>1117.9559999999999</v>
      </c>
      <c r="T15" s="79"/>
      <c r="U15" s="80">
        <f ca="1">Q15/1000000*S15</f>
        <v>1.3242128050982487</v>
      </c>
      <c r="V15" s="81">
        <f ca="1">U15*S15/1000</f>
        <v>1.4804116507364176</v>
      </c>
    </row>
    <row r="16" spans="1:23" ht="16" thickBot="1">
      <c r="A16" s="82"/>
      <c r="B16" s="83"/>
      <c r="U16" s="84">
        <f ca="1">SUM(U13:U15)</f>
        <v>2.54935230373678</v>
      </c>
      <c r="V16" s="85">
        <f ca="1">SUM(V13:V15)</f>
        <v>2.8500637040763555</v>
      </c>
      <c r="W16" s="90">
        <f ca="1">V8+V12+V16</f>
        <v>11.138796235446689</v>
      </c>
    </row>
    <row r="19" spans="1:33" ht="16.149999999999999" customHeight="1" thickBo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24" customHeight="1" thickBot="1">
      <c r="A20" s="91" t="s">
        <v>43</v>
      </c>
      <c r="B20" s="92" t="s">
        <v>44</v>
      </c>
      <c r="C20" s="93" t="s">
        <v>45</v>
      </c>
      <c r="D20" s="1"/>
      <c r="E20" s="94" t="s">
        <v>46</v>
      </c>
      <c r="F20" s="95"/>
      <c r="G20" s="96" t="s">
        <v>47</v>
      </c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8"/>
      <c r="Y20" s="95"/>
      <c r="Z20" s="6"/>
      <c r="AA20" s="6"/>
      <c r="AB20" s="6"/>
      <c r="AC20" s="6"/>
      <c r="AD20" s="6"/>
      <c r="AE20" s="6"/>
      <c r="AF20" s="6"/>
      <c r="AG20" s="6"/>
    </row>
    <row r="21" spans="1:33" ht="16.149999999999999" customHeight="1">
      <c r="A21" s="99" t="s">
        <v>4</v>
      </c>
      <c r="B21" s="100" t="s">
        <v>48</v>
      </c>
      <c r="C21" s="101" t="s">
        <v>49</v>
      </c>
      <c r="D21" s="1"/>
      <c r="E21" s="102"/>
      <c r="F21" s="103"/>
      <c r="G21" s="104" t="s">
        <v>50</v>
      </c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6" t="s">
        <v>2</v>
      </c>
      <c r="Y21" s="107"/>
      <c r="Z21" s="108"/>
      <c r="AA21" s="109"/>
      <c r="AB21" s="6"/>
      <c r="AC21" s="6"/>
      <c r="AD21" s="6"/>
      <c r="AE21" s="6"/>
      <c r="AF21" s="6"/>
      <c r="AG21" s="6"/>
    </row>
    <row r="22" spans="1:33" ht="16.899999999999999" customHeight="1" thickBot="1">
      <c r="A22" s="110" t="s">
        <v>51</v>
      </c>
      <c r="B22" s="111" t="s">
        <v>52</v>
      </c>
      <c r="C22" s="112" t="s">
        <v>53</v>
      </c>
      <c r="D22" s="1"/>
      <c r="E22" s="113"/>
      <c r="F22" s="114"/>
      <c r="G22" s="115">
        <v>0</v>
      </c>
      <c r="H22" s="116">
        <v>20</v>
      </c>
      <c r="I22" s="116">
        <v>100</v>
      </c>
      <c r="J22" s="116">
        <v>200</v>
      </c>
      <c r="K22" s="116">
        <v>300</v>
      </c>
      <c r="L22" s="116">
        <v>400</v>
      </c>
      <c r="M22" s="116">
        <v>500</v>
      </c>
      <c r="N22" s="116">
        <v>600</v>
      </c>
      <c r="O22" s="116">
        <v>700</v>
      </c>
      <c r="P22" s="116">
        <v>800</v>
      </c>
      <c r="Q22" s="116">
        <v>900</v>
      </c>
      <c r="R22" s="116">
        <v>1000</v>
      </c>
      <c r="S22" s="116">
        <v>1100</v>
      </c>
      <c r="T22" s="116">
        <v>1200</v>
      </c>
      <c r="U22" s="116">
        <v>1300</v>
      </c>
      <c r="V22" s="116">
        <v>1400</v>
      </c>
      <c r="W22" s="117">
        <v>1500</v>
      </c>
      <c r="X22" s="118" t="s">
        <v>54</v>
      </c>
      <c r="Y22" s="119" t="s">
        <v>55</v>
      </c>
      <c r="Z22" s="119" t="s">
        <v>56</v>
      </c>
      <c r="AA22" s="120" t="s">
        <v>57</v>
      </c>
      <c r="AB22" s="121"/>
      <c r="AC22" s="6"/>
      <c r="AD22" s="6"/>
      <c r="AE22" s="6"/>
      <c r="AF22" s="6"/>
      <c r="AG22" s="6"/>
    </row>
    <row r="23" spans="1:33" ht="16.149999999999999" customHeight="1">
      <c r="A23" s="122" t="s">
        <v>58</v>
      </c>
      <c r="B23" s="111" t="s">
        <v>59</v>
      </c>
      <c r="C23" s="112" t="s">
        <v>60</v>
      </c>
      <c r="D23" s="1"/>
      <c r="E23" s="123" t="s">
        <v>61</v>
      </c>
      <c r="F23" s="124" t="s">
        <v>62</v>
      </c>
      <c r="G23" s="125">
        <v>9.83</v>
      </c>
      <c r="H23" s="126">
        <v>10.6</v>
      </c>
      <c r="I23" s="126">
        <v>13.7</v>
      </c>
      <c r="J23" s="126">
        <v>17.399999999999999</v>
      </c>
      <c r="K23" s="126">
        <v>21</v>
      </c>
      <c r="L23" s="126">
        <v>24.5</v>
      </c>
      <c r="M23" s="126">
        <v>27.9</v>
      </c>
      <c r="N23" s="126">
        <v>31.2</v>
      </c>
      <c r="O23" s="126">
        <v>34.299999999999997</v>
      </c>
      <c r="P23" s="126">
        <v>37.299999999999997</v>
      </c>
      <c r="Q23" s="126">
        <v>40.299999999999997</v>
      </c>
      <c r="R23" s="126">
        <v>43.1</v>
      </c>
      <c r="S23" s="126">
        <v>45.8</v>
      </c>
      <c r="T23" s="126">
        <v>48.3</v>
      </c>
      <c r="U23" s="126">
        <v>50.8</v>
      </c>
      <c r="V23" s="126">
        <v>53.2</v>
      </c>
      <c r="W23" s="127">
        <v>55.4</v>
      </c>
      <c r="X23" s="128">
        <v>3.9678411655333003E-3</v>
      </c>
      <c r="Y23" s="129">
        <v>-5.8493099099554416E-7</v>
      </c>
      <c r="Z23" s="129">
        <f>G23</f>
        <v>9.83</v>
      </c>
      <c r="AA23" s="130">
        <v>0</v>
      </c>
      <c r="AB23" s="6"/>
      <c r="AC23" s="6"/>
      <c r="AD23" s="6"/>
      <c r="AE23" s="6"/>
      <c r="AF23" s="6"/>
      <c r="AG23" s="6"/>
    </row>
    <row r="24" spans="1:33" ht="16.149999999999999" customHeight="1">
      <c r="A24" s="110" t="s">
        <v>10</v>
      </c>
      <c r="B24" s="111" t="s">
        <v>63</v>
      </c>
      <c r="C24" s="112" t="s">
        <v>64</v>
      </c>
      <c r="D24" s="1"/>
      <c r="E24" s="131"/>
      <c r="F24" s="132" t="s">
        <v>65</v>
      </c>
      <c r="G24" s="133">
        <f t="shared" ref="G24:W24" si="0">$G$23*(1+$X$23*(G22-$G$22)+$Y$23*(G22-$G$22)^2)</f>
        <v>9.83</v>
      </c>
      <c r="H24" s="134">
        <f t="shared" si="0"/>
        <v>10.607777624487253</v>
      </c>
      <c r="I24" s="134">
        <f t="shared" si="0"/>
        <v>13.672889149304371</v>
      </c>
      <c r="J24" s="134">
        <f t="shared" si="0"/>
        <v>17.400780865779023</v>
      </c>
      <c r="K24" s="134">
        <f t="shared" si="0"/>
        <v>21.013675149423946</v>
      </c>
      <c r="L24" s="134">
        <f t="shared" si="0"/>
        <v>24.511572000239145</v>
      </c>
      <c r="M24" s="134">
        <f t="shared" si="0"/>
        <v>27.894471418224626</v>
      </c>
      <c r="N24" s="134">
        <f t="shared" si="0"/>
        <v>31.162373403380375</v>
      </c>
      <c r="O24" s="134">
        <f t="shared" si="0"/>
        <v>34.315277955706399</v>
      </c>
      <c r="P24" s="134">
        <f t="shared" si="0"/>
        <v>37.353185075202703</v>
      </c>
      <c r="Q24" s="134">
        <f t="shared" si="0"/>
        <v>40.276094761869281</v>
      </c>
      <c r="R24" s="134">
        <f t="shared" si="0"/>
        <v>43.084007015706149</v>
      </c>
      <c r="S24" s="134">
        <f t="shared" si="0"/>
        <v>45.776921836713278</v>
      </c>
      <c r="T24" s="134">
        <f t="shared" si="0"/>
        <v>48.354839224890682</v>
      </c>
      <c r="U24" s="134">
        <f t="shared" si="0"/>
        <v>50.817759180238369</v>
      </c>
      <c r="V24" s="134">
        <f t="shared" si="0"/>
        <v>53.165681702756331</v>
      </c>
      <c r="W24" s="135">
        <f t="shared" si="0"/>
        <v>55.398606792444568</v>
      </c>
      <c r="X24" s="136"/>
      <c r="Y24" s="137"/>
      <c r="Z24" s="138"/>
      <c r="AA24" s="139"/>
      <c r="AB24" s="6"/>
      <c r="AC24" s="6"/>
      <c r="AD24" s="6"/>
      <c r="AE24" s="6"/>
      <c r="AF24" s="6"/>
      <c r="AG24" s="6"/>
    </row>
    <row r="25" spans="1:33" ht="16.899999999999999" customHeight="1" thickBot="1">
      <c r="A25" s="122" t="s">
        <v>66</v>
      </c>
      <c r="B25" s="111" t="s">
        <v>67</v>
      </c>
      <c r="C25" s="112" t="s">
        <v>68</v>
      </c>
      <c r="D25" s="1"/>
      <c r="E25" s="140"/>
      <c r="F25" s="141" t="s">
        <v>69</v>
      </c>
      <c r="G25" s="142">
        <f t="shared" ref="G25:W25" si="1">(G24-G23)^2</f>
        <v>0</v>
      </c>
      <c r="H25" s="143">
        <f t="shared" si="1"/>
        <v>6.0491442664730427E-5</v>
      </c>
      <c r="I25" s="143">
        <f t="shared" si="1"/>
        <v>7.3499822544064028E-4</v>
      </c>
      <c r="J25" s="143">
        <f t="shared" si="1"/>
        <v>6.0975136485115423E-7</v>
      </c>
      <c r="K25" s="143">
        <f t="shared" si="1"/>
        <v>1.8700971176725632E-4</v>
      </c>
      <c r="L25" s="143">
        <f t="shared" si="1"/>
        <v>1.3391118953476826E-4</v>
      </c>
      <c r="M25" s="143">
        <f t="shared" si="1"/>
        <v>3.056521644698363E-5</v>
      </c>
      <c r="N25" s="143">
        <f t="shared" si="1"/>
        <v>1.4157607731759235E-3</v>
      </c>
      <c r="O25" s="143">
        <f t="shared" si="1"/>
        <v>2.3341593056678829E-4</v>
      </c>
      <c r="P25" s="143">
        <f t="shared" si="1"/>
        <v>2.8286522243174323E-3</v>
      </c>
      <c r="Q25" s="143">
        <f t="shared" si="1"/>
        <v>5.7146041008624294E-4</v>
      </c>
      <c r="R25" s="143">
        <f t="shared" si="1"/>
        <v>2.5577554662341051E-4</v>
      </c>
      <c r="S25" s="143">
        <f t="shared" si="1"/>
        <v>5.3260162068847344E-4</v>
      </c>
      <c r="T25" s="143">
        <f t="shared" si="1"/>
        <v>3.0073405866111302E-3</v>
      </c>
      <c r="U25" s="143">
        <f t="shared" si="1"/>
        <v>3.1538848273896983E-4</v>
      </c>
      <c r="V25" s="143">
        <f t="shared" si="1"/>
        <v>1.1777455257050383E-3</v>
      </c>
      <c r="W25" s="144">
        <f t="shared" si="1"/>
        <v>1.9410272925095208E-6</v>
      </c>
      <c r="X25" s="145" t="s">
        <v>70</v>
      </c>
      <c r="Y25" s="146">
        <f>SUM(G25:W25)</f>
        <v>1.148766766502515E-2</v>
      </c>
      <c r="Z25" s="147"/>
      <c r="AA25" s="148"/>
      <c r="AB25" s="6"/>
      <c r="AC25" s="6"/>
      <c r="AD25" s="6"/>
      <c r="AE25" s="6"/>
      <c r="AF25" s="6"/>
      <c r="AG25" s="6"/>
    </row>
    <row r="26" spans="1:33" ht="16.149999999999999" customHeight="1">
      <c r="A26" s="122" t="s">
        <v>71</v>
      </c>
      <c r="B26" s="111" t="s">
        <v>72</v>
      </c>
      <c r="C26" s="112" t="s">
        <v>73</v>
      </c>
      <c r="D26" s="1"/>
      <c r="E26" s="149" t="s">
        <v>74</v>
      </c>
      <c r="F26" s="150" t="s">
        <v>75</v>
      </c>
      <c r="G26" s="151">
        <v>10</v>
      </c>
      <c r="H26" s="152">
        <v>11.7</v>
      </c>
      <c r="I26" s="152">
        <v>13</v>
      </c>
      <c r="J26" s="152">
        <v>16</v>
      </c>
      <c r="K26" s="152">
        <v>19</v>
      </c>
      <c r="L26" s="152">
        <v>22</v>
      </c>
      <c r="M26" s="152">
        <v>25</v>
      </c>
      <c r="N26" s="152">
        <v>28</v>
      </c>
      <c r="O26" s="152">
        <v>34.200000000000003</v>
      </c>
      <c r="P26" s="152">
        <v>36.9</v>
      </c>
      <c r="Q26" s="152">
        <v>39</v>
      </c>
      <c r="R26" s="152">
        <v>41.8</v>
      </c>
      <c r="S26" s="152">
        <v>44</v>
      </c>
      <c r="T26" s="152">
        <v>46.3</v>
      </c>
      <c r="U26" s="152">
        <v>48.3</v>
      </c>
      <c r="V26" s="152">
        <v>50.2</v>
      </c>
      <c r="W26" s="153">
        <v>52.1</v>
      </c>
      <c r="X26" s="154">
        <v>3.5292752903631386E-3</v>
      </c>
      <c r="Y26" s="155">
        <v>-4.4286171806035562E-7</v>
      </c>
      <c r="Z26" s="155">
        <f>G26</f>
        <v>10</v>
      </c>
      <c r="AA26" s="156">
        <v>0</v>
      </c>
      <c r="AB26" s="6"/>
      <c r="AC26" s="6"/>
      <c r="AD26" s="6"/>
      <c r="AE26" s="6"/>
      <c r="AF26" s="6"/>
      <c r="AG26" s="6"/>
    </row>
    <row r="27" spans="1:33" ht="16.149999999999999" customHeight="1">
      <c r="A27" s="122" t="s">
        <v>76</v>
      </c>
      <c r="B27" s="111" t="s">
        <v>77</v>
      </c>
      <c r="C27" s="112" t="s">
        <v>78</v>
      </c>
      <c r="D27" s="1"/>
      <c r="E27" s="131"/>
      <c r="F27" s="157" t="s">
        <v>65</v>
      </c>
      <c r="G27" s="158">
        <f t="shared" ref="G27:W27" si="2">$G$26*(1+$X$26*(G22-$G$22)+$Y$26*(G22-$G$22)^2)</f>
        <v>10</v>
      </c>
      <c r="H27" s="159">
        <f t="shared" si="2"/>
        <v>10.704083611200389</v>
      </c>
      <c r="I27" s="159">
        <f t="shared" si="2"/>
        <v>13.484989118557102</v>
      </c>
      <c r="J27" s="159">
        <f t="shared" si="2"/>
        <v>16.881405893502134</v>
      </c>
      <c r="K27" s="159">
        <f t="shared" si="2"/>
        <v>20.189250324835101</v>
      </c>
      <c r="L27" s="159">
        <f t="shared" si="2"/>
        <v>23.408522412555985</v>
      </c>
      <c r="M27" s="159">
        <f t="shared" si="2"/>
        <v>26.539222156664803</v>
      </c>
      <c r="N27" s="159">
        <f t="shared" si="2"/>
        <v>29.581349557161548</v>
      </c>
      <c r="O27" s="159">
        <f t="shared" si="2"/>
        <v>32.534904614046233</v>
      </c>
      <c r="P27" s="159">
        <f t="shared" si="2"/>
        <v>35.399887327318837</v>
      </c>
      <c r="Q27" s="159">
        <f t="shared" si="2"/>
        <v>38.176297696979375</v>
      </c>
      <c r="R27" s="159">
        <f t="shared" si="2"/>
        <v>40.864135723027822</v>
      </c>
      <c r="S27" s="159">
        <f t="shared" si="2"/>
        <v>43.463401405464225</v>
      </c>
      <c r="T27" s="159">
        <f t="shared" si="2"/>
        <v>45.974094744288543</v>
      </c>
      <c r="U27" s="159">
        <f t="shared" si="2"/>
        <v>48.396215739500789</v>
      </c>
      <c r="V27" s="159">
        <f t="shared" si="2"/>
        <v>50.729764391100971</v>
      </c>
      <c r="W27" s="160">
        <f t="shared" si="2"/>
        <v>52.974740699089082</v>
      </c>
      <c r="X27" s="136"/>
      <c r="Y27" s="137"/>
      <c r="Z27" s="137"/>
      <c r="AA27" s="161"/>
      <c r="AB27" s="6"/>
      <c r="AC27" s="6"/>
      <c r="AD27" s="6"/>
      <c r="AE27" s="6"/>
      <c r="AF27" s="6"/>
      <c r="AG27" s="6"/>
    </row>
    <row r="28" spans="1:33" ht="16.899999999999999" customHeight="1" thickBot="1">
      <c r="A28" s="162" t="s">
        <v>79</v>
      </c>
      <c r="B28" s="163" t="s">
        <v>80</v>
      </c>
      <c r="C28" s="164" t="s">
        <v>81</v>
      </c>
      <c r="D28" s="1"/>
      <c r="E28" s="140"/>
      <c r="F28" s="165" t="s">
        <v>69</v>
      </c>
      <c r="G28" s="166">
        <f t="shared" ref="G28:W28" si="3">(G27-G26)^2</f>
        <v>0</v>
      </c>
      <c r="H28" s="167">
        <f t="shared" si="3"/>
        <v>0.99184945347965703</v>
      </c>
      <c r="I28" s="167">
        <f t="shared" si="3"/>
        <v>0.23521444511879519</v>
      </c>
      <c r="J28" s="167">
        <f t="shared" si="3"/>
        <v>0.77687634910029446</v>
      </c>
      <c r="K28" s="167">
        <f t="shared" si="3"/>
        <v>1.414316335120392</v>
      </c>
      <c r="L28" s="167">
        <f t="shared" si="3"/>
        <v>1.9839353866725336</v>
      </c>
      <c r="M28" s="167">
        <f t="shared" si="3"/>
        <v>2.369204847567846</v>
      </c>
      <c r="N28" s="167">
        <f t="shared" si="3"/>
        <v>2.500666421935025</v>
      </c>
      <c r="O28" s="167">
        <f t="shared" si="3"/>
        <v>2.772542644324532</v>
      </c>
      <c r="P28" s="167">
        <f t="shared" si="3"/>
        <v>2.2503380307386189</v>
      </c>
      <c r="Q28" s="167">
        <f t="shared" si="3"/>
        <v>0.67848548400148079</v>
      </c>
      <c r="R28" s="167">
        <f t="shared" si="3"/>
        <v>0.87584194491265277</v>
      </c>
      <c r="S28" s="167">
        <f t="shared" si="3"/>
        <v>0.28793805165776903</v>
      </c>
      <c r="T28" s="167">
        <f t="shared" si="3"/>
        <v>0.10621423570034845</v>
      </c>
      <c r="U28" s="167">
        <f t="shared" si="3"/>
        <v>9.2574685276842848E-3</v>
      </c>
      <c r="V28" s="167">
        <f t="shared" si="3"/>
        <v>0.28065031007858005</v>
      </c>
      <c r="W28" s="168">
        <f t="shared" si="3"/>
        <v>0.76517129064285405</v>
      </c>
      <c r="X28" s="169" t="s">
        <v>70</v>
      </c>
      <c r="Y28" s="170">
        <f>SUM(G28:W28)</f>
        <v>18.298502699579068</v>
      </c>
      <c r="Z28" s="147"/>
      <c r="AA28" s="148"/>
      <c r="AB28" s="6"/>
      <c r="AC28" s="6"/>
      <c r="AD28" s="6"/>
      <c r="AE28" s="6"/>
      <c r="AF28" s="6"/>
      <c r="AG28" s="6"/>
    </row>
    <row r="29" spans="1:33" ht="16.149999999999999" customHeight="1">
      <c r="E29" s="171" t="s">
        <v>82</v>
      </c>
      <c r="F29" s="172" t="s">
        <v>62</v>
      </c>
      <c r="G29" s="173">
        <v>19.100000000000001</v>
      </c>
      <c r="H29" s="174">
        <v>19.399999999999999</v>
      </c>
      <c r="I29" s="174">
        <v>22</v>
      </c>
      <c r="J29" s="174">
        <v>24</v>
      </c>
      <c r="K29" s="174">
        <v>26</v>
      </c>
      <c r="L29" s="174">
        <v>28</v>
      </c>
      <c r="M29" s="174">
        <v>30</v>
      </c>
      <c r="N29" s="174">
        <v>32</v>
      </c>
      <c r="O29" s="174">
        <v>38.5</v>
      </c>
      <c r="P29" s="174">
        <v>41.1</v>
      </c>
      <c r="Q29" s="174">
        <v>43.1</v>
      </c>
      <c r="R29" s="174">
        <v>45.7</v>
      </c>
      <c r="S29" s="174">
        <v>47.9</v>
      </c>
      <c r="T29" s="174">
        <v>50.1</v>
      </c>
      <c r="U29" s="174">
        <v>52.1</v>
      </c>
      <c r="V29" s="174">
        <v>54.2</v>
      </c>
      <c r="W29" s="175">
        <v>56.1</v>
      </c>
      <c r="X29" s="176">
        <v>1.3483449502268749E-3</v>
      </c>
      <c r="Y29" s="177">
        <v>-1.2572651570641538E-8</v>
      </c>
      <c r="Z29" s="177">
        <f>G29</f>
        <v>19.100000000000001</v>
      </c>
      <c r="AA29" s="178">
        <v>0</v>
      </c>
      <c r="AB29" s="6"/>
      <c r="AC29" s="6"/>
      <c r="AD29" s="6"/>
      <c r="AE29" s="6"/>
      <c r="AF29" s="6"/>
      <c r="AG29" s="6"/>
    </row>
    <row r="30" spans="1:33" ht="16.149999999999999" customHeight="1">
      <c r="E30" s="131"/>
      <c r="F30" s="179" t="s">
        <v>65</v>
      </c>
      <c r="G30" s="180">
        <f t="shared" ref="G30:W30" si="4">$G$29*(1+$X$29*(G22-$G$22)+$Y$29*(G22-$G$22)^2)</f>
        <v>19.100000000000001</v>
      </c>
      <c r="H30" s="181">
        <f t="shared" si="4"/>
        <v>19.614971715928672</v>
      </c>
      <c r="I30" s="181">
        <f t="shared" si="4"/>
        <v>21.672937478483338</v>
      </c>
      <c r="J30" s="181">
        <f t="shared" si="4"/>
        <v>24.241072204066693</v>
      </c>
      <c r="K30" s="181">
        <f t="shared" si="4"/>
        <v>26.804404176750062</v>
      </c>
      <c r="L30" s="181">
        <f t="shared" si="4"/>
        <v>29.36293339653345</v>
      </c>
      <c r="M30" s="181">
        <f t="shared" si="4"/>
        <v>31.916659863416847</v>
      </c>
      <c r="N30" s="181">
        <f t="shared" si="4"/>
        <v>34.46558357740026</v>
      </c>
      <c r="O30" s="181">
        <f t="shared" si="4"/>
        <v>37.009704538483682</v>
      </c>
      <c r="P30" s="181">
        <f t="shared" si="4"/>
        <v>39.549022746667134</v>
      </c>
      <c r="Q30" s="181">
        <f t="shared" si="4"/>
        <v>42.083538201950589</v>
      </c>
      <c r="R30" s="181">
        <f t="shared" si="4"/>
        <v>44.613250904334066</v>
      </c>
      <c r="S30" s="181">
        <f t="shared" si="4"/>
        <v>47.138160853817553</v>
      </c>
      <c r="T30" s="181">
        <f t="shared" si="4"/>
        <v>49.658268050401048</v>
      </c>
      <c r="U30" s="181">
        <f t="shared" si="4"/>
        <v>52.173572494084567</v>
      </c>
      <c r="V30" s="181">
        <f t="shared" si="4"/>
        <v>54.684074184868102</v>
      </c>
      <c r="W30" s="182">
        <f t="shared" si="4"/>
        <v>57.189773122751653</v>
      </c>
      <c r="X30" s="136"/>
      <c r="Y30" s="137"/>
      <c r="Z30" s="137"/>
      <c r="AA30" s="161"/>
      <c r="AB30" s="6"/>
      <c r="AC30" s="6"/>
      <c r="AD30" s="6"/>
      <c r="AE30" s="6"/>
      <c r="AF30" s="6"/>
      <c r="AG30" s="6"/>
    </row>
    <row r="31" spans="1:33" ht="16.899999999999999" customHeight="1" thickBot="1">
      <c r="E31" s="140"/>
      <c r="F31" s="183" t="s">
        <v>69</v>
      </c>
      <c r="G31" s="184">
        <f t="shared" ref="G31:W31" si="5">(G30-G29)^2</f>
        <v>0</v>
      </c>
      <c r="H31" s="185">
        <f t="shared" si="5"/>
        <v>4.6212838649318098E-2</v>
      </c>
      <c r="I31" s="185">
        <f t="shared" si="5"/>
        <v>0.10696989298083731</v>
      </c>
      <c r="J31" s="185">
        <f t="shared" si="5"/>
        <v>5.8115807573573403E-2</v>
      </c>
      <c r="K31" s="185">
        <f t="shared" si="5"/>
        <v>0.64706607957294437</v>
      </c>
      <c r="L31" s="185">
        <f t="shared" si="5"/>
        <v>1.8575874433862054</v>
      </c>
      <c r="M31" s="185">
        <f t="shared" si="5"/>
        <v>3.6735850320330852</v>
      </c>
      <c r="N31" s="185">
        <f t="shared" si="5"/>
        <v>6.0791023771458628</v>
      </c>
      <c r="O31" s="185">
        <f t="shared" si="5"/>
        <v>2.2209805626161359</v>
      </c>
      <c r="P31" s="185">
        <f t="shared" si="5"/>
        <v>2.4055304403559647</v>
      </c>
      <c r="Q31" s="185">
        <f t="shared" si="5"/>
        <v>1.0331945868938452</v>
      </c>
      <c r="R31" s="185">
        <f t="shared" si="5"/>
        <v>1.1810235969307312</v>
      </c>
      <c r="S31" s="185">
        <f t="shared" si="5"/>
        <v>0.58039888465599809</v>
      </c>
      <c r="T31" s="185">
        <f t="shared" si="5"/>
        <v>0.19512711529649207</v>
      </c>
      <c r="U31" s="185">
        <f t="shared" si="5"/>
        <v>5.4129118858234513E-3</v>
      </c>
      <c r="V31" s="185">
        <f t="shared" si="5"/>
        <v>0.23432781645571465</v>
      </c>
      <c r="W31" s="186">
        <f t="shared" si="5"/>
        <v>1.1876054590718863</v>
      </c>
      <c r="X31" s="187" t="s">
        <v>70</v>
      </c>
      <c r="Y31" s="188">
        <f>SUM(G31:W31)</f>
        <v>21.512240845504422</v>
      </c>
      <c r="Z31" s="147"/>
      <c r="AA31" s="148"/>
      <c r="AB31" s="6"/>
      <c r="AC31" s="6"/>
      <c r="AD31" s="6"/>
      <c r="AE31" s="6"/>
      <c r="AF31" s="6"/>
      <c r="AG31" s="6"/>
    </row>
    <row r="32" spans="1:33" ht="16.149999999999999" customHeight="1">
      <c r="E32" s="189" t="s">
        <v>83</v>
      </c>
      <c r="F32" s="190" t="s">
        <v>62</v>
      </c>
      <c r="G32" s="191"/>
      <c r="H32" s="192">
        <v>20.8</v>
      </c>
      <c r="I32" s="192"/>
      <c r="J32" s="192"/>
      <c r="K32" s="192"/>
      <c r="L32" s="192"/>
      <c r="M32" s="192"/>
      <c r="N32" s="192"/>
      <c r="O32" s="192"/>
      <c r="P32" s="192"/>
      <c r="Q32" s="192"/>
      <c r="R32" s="192">
        <v>43.3</v>
      </c>
      <c r="S32" s="192"/>
      <c r="T32" s="192">
        <v>48.2</v>
      </c>
      <c r="U32" s="192">
        <v>50</v>
      </c>
      <c r="V32" s="192">
        <v>51.6</v>
      </c>
      <c r="W32" s="193">
        <v>53.2</v>
      </c>
      <c r="X32" s="194">
        <v>1.2512196262706044E-3</v>
      </c>
      <c r="Y32" s="195">
        <v>-1.2862331113340609E-7</v>
      </c>
      <c r="Z32" s="195">
        <f>H32</f>
        <v>20.8</v>
      </c>
      <c r="AA32" s="196">
        <v>20</v>
      </c>
      <c r="AB32" s="6"/>
      <c r="AC32" s="6"/>
      <c r="AD32" s="6"/>
      <c r="AE32" s="6"/>
      <c r="AF32" s="6"/>
      <c r="AG32" s="6"/>
    </row>
    <row r="33" spans="5:33" ht="16.149999999999999" customHeight="1">
      <c r="E33" s="131"/>
      <c r="F33" s="197" t="s">
        <v>65</v>
      </c>
      <c r="G33" s="198"/>
      <c r="H33" s="199">
        <f>$H$32*(1+$X$32*(H22-$H$22)+$Y$32*(H22-$H$22)^2)</f>
        <v>20.8</v>
      </c>
      <c r="I33" s="199">
        <v>0</v>
      </c>
      <c r="J33" s="199">
        <v>0</v>
      </c>
      <c r="K33" s="199">
        <v>0</v>
      </c>
      <c r="L33" s="199">
        <v>0</v>
      </c>
      <c r="M33" s="199">
        <v>0</v>
      </c>
      <c r="N33" s="199">
        <v>0</v>
      </c>
      <c r="O33" s="199">
        <v>0</v>
      </c>
      <c r="P33" s="199">
        <v>0</v>
      </c>
      <c r="Q33" s="199">
        <v>0</v>
      </c>
      <c r="R33" s="199">
        <f>$H$32*(1+$X$32*(R22-$H$22)+$Y$32*(R22-$H$22)^2)</f>
        <v>43.735440439239511</v>
      </c>
      <c r="S33" s="199">
        <v>0</v>
      </c>
      <c r="T33" s="199">
        <f>$H$32*(1+$X$32*(T22-$H$22)+$Y$32*(T22-$H$22)^2)</f>
        <v>47.7847564600049</v>
      </c>
      <c r="U33" s="199">
        <f>$H$32*(1+$X$32*(U22-$H$22)+$Y$32*(U22-$H$22)^2)</f>
        <v>49.729153524240346</v>
      </c>
      <c r="V33" s="199">
        <f>$H$32*(1+$X$32*(V22-$H$22)+$Y$32*(V22-$H$22)^2)</f>
        <v>51.62004329104429</v>
      </c>
      <c r="W33" s="200">
        <f>$H$32*(1+$X$32*(W22-$H$22)+$Y$32*(W22-$H$22)^2)</f>
        <v>53.457425760416747</v>
      </c>
      <c r="X33" s="136"/>
      <c r="Y33" s="137"/>
      <c r="Z33" s="137"/>
      <c r="AA33" s="161"/>
      <c r="AB33" s="6"/>
      <c r="AC33" s="6"/>
      <c r="AD33" s="6"/>
      <c r="AE33" s="6"/>
      <c r="AF33" s="6"/>
      <c r="AG33" s="6"/>
    </row>
    <row r="34" spans="5:33" ht="16.899999999999999" customHeight="1" thickBot="1">
      <c r="E34" s="140"/>
      <c r="F34" s="201" t="s">
        <v>69</v>
      </c>
      <c r="G34" s="202"/>
      <c r="H34" s="203">
        <f t="shared" ref="H34:W34" si="6">(H33-H32)^2</f>
        <v>0</v>
      </c>
      <c r="I34" s="203">
        <f t="shared" si="6"/>
        <v>0</v>
      </c>
      <c r="J34" s="203">
        <f t="shared" si="6"/>
        <v>0</v>
      </c>
      <c r="K34" s="203">
        <f t="shared" si="6"/>
        <v>0</v>
      </c>
      <c r="L34" s="203">
        <f t="shared" si="6"/>
        <v>0</v>
      </c>
      <c r="M34" s="203">
        <f t="shared" si="6"/>
        <v>0</v>
      </c>
      <c r="N34" s="203">
        <f t="shared" si="6"/>
        <v>0</v>
      </c>
      <c r="O34" s="203">
        <f t="shared" si="6"/>
        <v>0</v>
      </c>
      <c r="P34" s="203">
        <f t="shared" si="6"/>
        <v>0</v>
      </c>
      <c r="Q34" s="203">
        <f t="shared" si="6"/>
        <v>0</v>
      </c>
      <c r="R34" s="203">
        <f t="shared" si="6"/>
        <v>0.18960837612510081</v>
      </c>
      <c r="S34" s="203">
        <f t="shared" si="6"/>
        <v>0</v>
      </c>
      <c r="T34" s="203">
        <f t="shared" si="6"/>
        <v>0.1724271975076648</v>
      </c>
      <c r="U34" s="203">
        <f t="shared" si="6"/>
        <v>7.3357813431425098E-2</v>
      </c>
      <c r="V34" s="203">
        <f t="shared" si="6"/>
        <v>4.0173351588605478E-4</v>
      </c>
      <c r="W34" s="204">
        <f t="shared" si="6"/>
        <v>6.6268022126139012E-2</v>
      </c>
      <c r="X34" s="205" t="s">
        <v>70</v>
      </c>
      <c r="Y34" s="206">
        <f>SUM(G34:W34)</f>
        <v>0.50206314270621577</v>
      </c>
      <c r="Z34" s="147"/>
      <c r="AA34" s="148"/>
      <c r="AB34" s="6"/>
      <c r="AC34" s="6"/>
      <c r="AD34" s="6"/>
      <c r="AE34" s="6"/>
      <c r="AF34" s="6"/>
      <c r="AG34" s="6"/>
    </row>
    <row r="35" spans="5:33" ht="16.149999999999999" customHeight="1">
      <c r="E35" s="207" t="s">
        <v>84</v>
      </c>
      <c r="F35" s="208" t="s">
        <v>62</v>
      </c>
      <c r="G35" s="209">
        <v>19.899999999999999</v>
      </c>
      <c r="H35" s="210">
        <v>20.100000000000001</v>
      </c>
      <c r="I35" s="210">
        <v>23</v>
      </c>
      <c r="J35" s="210">
        <v>26</v>
      </c>
      <c r="K35" s="210">
        <v>29</v>
      </c>
      <c r="L35" s="210">
        <v>32</v>
      </c>
      <c r="M35" s="210">
        <v>35</v>
      </c>
      <c r="N35" s="210">
        <v>38</v>
      </c>
      <c r="O35" s="210">
        <v>40</v>
      </c>
      <c r="P35" s="210">
        <v>42.7</v>
      </c>
      <c r="Q35" s="210">
        <v>44.6</v>
      </c>
      <c r="R35" s="210">
        <v>47.7</v>
      </c>
      <c r="S35" s="210">
        <v>50</v>
      </c>
      <c r="T35" s="210">
        <v>52.3</v>
      </c>
      <c r="U35" s="210">
        <v>54.4</v>
      </c>
      <c r="V35" s="210">
        <v>56.6</v>
      </c>
      <c r="W35" s="211">
        <v>58.6</v>
      </c>
      <c r="X35" s="212">
        <v>1.5918684719033662E-3</v>
      </c>
      <c r="Y35" s="213">
        <v>-1.9785992426962831E-7</v>
      </c>
      <c r="Z35" s="213">
        <f>G35</f>
        <v>19.899999999999999</v>
      </c>
      <c r="AA35" s="214">
        <v>0</v>
      </c>
      <c r="AB35" s="6"/>
      <c r="AC35" s="6"/>
      <c r="AD35" s="6"/>
      <c r="AE35" s="6"/>
      <c r="AF35" s="6"/>
      <c r="AG35" s="1"/>
    </row>
    <row r="36" spans="5:33" ht="16.149999999999999" customHeight="1">
      <c r="E36" s="131"/>
      <c r="F36" s="215" t="s">
        <v>65</v>
      </c>
      <c r="G36" s="216">
        <f t="shared" ref="G36:W36" si="7">$G$35*(1+$X$35*(G22-$G$22)+$Y$35*(G22-$G$22)^2)</f>
        <v>19.899999999999999</v>
      </c>
      <c r="H36" s="217">
        <f t="shared" si="7"/>
        <v>20.531988686820352</v>
      </c>
      <c r="I36" s="217">
        <f t="shared" si="7"/>
        <v>23.02844413415804</v>
      </c>
      <c r="J36" s="217">
        <f t="shared" si="7"/>
        <v>26.078140018456772</v>
      </c>
      <c r="K36" s="217">
        <f t="shared" si="7"/>
        <v>29.049087652896187</v>
      </c>
      <c r="L36" s="217">
        <f t="shared" si="7"/>
        <v>31.941287037476297</v>
      </c>
      <c r="M36" s="217">
        <f t="shared" si="7"/>
        <v>34.754738172197086</v>
      </c>
      <c r="N36" s="217">
        <f t="shared" si="7"/>
        <v>37.489441057058571</v>
      </c>
      <c r="O36" s="217">
        <f t="shared" si="7"/>
        <v>40.145395692060738</v>
      </c>
      <c r="P36" s="217">
        <f t="shared" si="7"/>
        <v>42.722602077203597</v>
      </c>
      <c r="Q36" s="217">
        <f t="shared" si="7"/>
        <v>45.221060212487146</v>
      </c>
      <c r="R36" s="217">
        <f t="shared" si="7"/>
        <v>47.640770097911378</v>
      </c>
      <c r="S36" s="217">
        <f t="shared" si="7"/>
        <v>49.981731733476295</v>
      </c>
      <c r="T36" s="217">
        <f t="shared" si="7"/>
        <v>52.243945119181909</v>
      </c>
      <c r="U36" s="217">
        <f t="shared" si="7"/>
        <v>54.427410255028221</v>
      </c>
      <c r="V36" s="217">
        <f t="shared" si="7"/>
        <v>56.532127141015195</v>
      </c>
      <c r="W36" s="218">
        <f t="shared" si="7"/>
        <v>58.558095777142874</v>
      </c>
      <c r="X36" s="136"/>
      <c r="Y36" s="137"/>
      <c r="Z36" s="137"/>
      <c r="AA36" s="161"/>
      <c r="AB36" s="6"/>
      <c r="AC36" s="6"/>
      <c r="AD36" s="6"/>
      <c r="AE36" s="6"/>
      <c r="AF36" s="6"/>
      <c r="AG36" s="1"/>
    </row>
    <row r="37" spans="5:33" ht="16.899999999999999" customHeight="1" thickBot="1">
      <c r="E37" s="140"/>
      <c r="F37" s="219" t="s">
        <v>69</v>
      </c>
      <c r="G37" s="220">
        <f t="shared" ref="G37:W37" si="8">(G36-G35)^2</f>
        <v>0</v>
      </c>
      <c r="H37" s="221">
        <f t="shared" si="8"/>
        <v>0.18661422554077078</v>
      </c>
      <c r="I37" s="221">
        <f t="shared" si="8"/>
        <v>8.0906876800056096E-4</v>
      </c>
      <c r="J37" s="221">
        <f t="shared" si="8"/>
        <v>6.1058624844245978E-3</v>
      </c>
      <c r="K37" s="221">
        <f t="shared" si="8"/>
        <v>2.4095976668565356E-3</v>
      </c>
      <c r="L37" s="221">
        <f t="shared" si="8"/>
        <v>3.447211968309786E-3</v>
      </c>
      <c r="M37" s="221">
        <f t="shared" si="8"/>
        <v>6.0153364177225992E-2</v>
      </c>
      <c r="N37" s="221">
        <f t="shared" si="8"/>
        <v>0.26067043421746983</v>
      </c>
      <c r="O37" s="221">
        <f t="shared" si="8"/>
        <v>2.1139907269821012E-2</v>
      </c>
      <c r="P37" s="221">
        <f t="shared" si="8"/>
        <v>5.108538939172123E-4</v>
      </c>
      <c r="Q37" s="221">
        <f t="shared" si="8"/>
        <v>0.3857157875345768</v>
      </c>
      <c r="R37" s="221">
        <f t="shared" si="8"/>
        <v>3.5081813014280379E-3</v>
      </c>
      <c r="S37" s="221">
        <f t="shared" si="8"/>
        <v>3.3372956178113095E-4</v>
      </c>
      <c r="T37" s="221">
        <f t="shared" si="8"/>
        <v>3.1421496635300828E-3</v>
      </c>
      <c r="U37" s="221">
        <f t="shared" si="8"/>
        <v>7.5132208071218326E-4</v>
      </c>
      <c r="V37" s="221">
        <f t="shared" si="8"/>
        <v>4.6067249867714054E-3</v>
      </c>
      <c r="W37" s="222">
        <f t="shared" si="8"/>
        <v>1.7559638932597764E-3</v>
      </c>
      <c r="X37" s="223" t="s">
        <v>70</v>
      </c>
      <c r="Y37" s="224">
        <f>SUM(G37:W37)</f>
        <v>0.94167438500885592</v>
      </c>
      <c r="Z37" s="147"/>
      <c r="AA37" s="148"/>
      <c r="AB37" s="6"/>
      <c r="AC37" s="6"/>
      <c r="AD37" s="6"/>
      <c r="AE37" s="6"/>
      <c r="AF37" s="6"/>
      <c r="AG37" s="1"/>
    </row>
    <row r="38" spans="5:33" ht="16.149999999999999" customHeight="1">
      <c r="E38" s="225" t="s">
        <v>85</v>
      </c>
      <c r="F38" s="226" t="s">
        <v>62</v>
      </c>
      <c r="G38" s="227">
        <v>9.73</v>
      </c>
      <c r="H38" s="228">
        <v>10</v>
      </c>
      <c r="I38" s="228">
        <v>10.25</v>
      </c>
      <c r="J38" s="228">
        <v>16.809999999999999</v>
      </c>
      <c r="K38" s="228">
        <v>20.22</v>
      </c>
      <c r="L38" s="228">
        <v>23.62</v>
      </c>
      <c r="M38" s="228">
        <v>26.47</v>
      </c>
      <c r="N38" s="228">
        <v>29.31</v>
      </c>
      <c r="O38" s="228">
        <v>31.76</v>
      </c>
      <c r="P38" s="228">
        <v>34.21</v>
      </c>
      <c r="Q38" s="228">
        <v>35.74</v>
      </c>
      <c r="R38" s="228">
        <v>37.270000000000003</v>
      </c>
      <c r="S38" s="228"/>
      <c r="T38" s="228"/>
      <c r="U38" s="228"/>
      <c r="V38" s="228"/>
      <c r="W38" s="229"/>
      <c r="X38" s="230">
        <v>3.9116195168490521E-3</v>
      </c>
      <c r="Y38" s="231">
        <v>-1.0293953814147924E-6</v>
      </c>
      <c r="Z38" s="231">
        <f>G38</f>
        <v>9.73</v>
      </c>
      <c r="AA38" s="232">
        <v>0</v>
      </c>
      <c r="AB38" s="6"/>
      <c r="AC38" s="6"/>
      <c r="AD38" s="6"/>
      <c r="AE38" s="6"/>
      <c r="AF38" s="6"/>
      <c r="AG38" s="1"/>
    </row>
    <row r="39" spans="5:33" ht="16.149999999999999" customHeight="1">
      <c r="E39" s="233"/>
      <c r="F39" s="234" t="s">
        <v>65</v>
      </c>
      <c r="G39" s="235">
        <f t="shared" ref="G39:R39" si="9">$G$38*(1+$X$38*(G22-$G$22)+$Y$38*(G22-$G$22)^2)</f>
        <v>9.73</v>
      </c>
      <c r="H39" s="236">
        <f t="shared" si="9"/>
        <v>10.487194751154359</v>
      </c>
      <c r="I39" s="236">
        <f t="shared" si="9"/>
        <v>13.435845619282468</v>
      </c>
      <c r="J39" s="236">
        <f t="shared" si="9"/>
        <v>16.941370897341617</v>
      </c>
      <c r="K39" s="236">
        <f t="shared" si="9"/>
        <v>20.246575834177445</v>
      </c>
      <c r="L39" s="236">
        <f t="shared" si="9"/>
        <v>23.35146042978996</v>
      </c>
      <c r="M39" s="236">
        <f t="shared" si="9"/>
        <v>26.25602468417916</v>
      </c>
      <c r="N39" s="236">
        <f t="shared" si="9"/>
        <v>28.960268597345035</v>
      </c>
      <c r="O39" s="236">
        <f t="shared" si="9"/>
        <v>31.464192169287593</v>
      </c>
      <c r="P39" s="236">
        <f t="shared" si="9"/>
        <v>33.767795400006825</v>
      </c>
      <c r="Q39" s="236">
        <f t="shared" si="9"/>
        <v>35.871078289502748</v>
      </c>
      <c r="R39" s="236">
        <f t="shared" si="9"/>
        <v>37.774040837775352</v>
      </c>
      <c r="S39" s="236"/>
      <c r="T39" s="236"/>
      <c r="U39" s="236"/>
      <c r="V39" s="236"/>
      <c r="W39" s="237"/>
      <c r="X39" s="136"/>
      <c r="Y39" s="137"/>
      <c r="Z39" s="137"/>
      <c r="AA39" s="161"/>
      <c r="AB39" s="6"/>
      <c r="AC39" s="6"/>
      <c r="AD39" s="6"/>
      <c r="AE39" s="238"/>
      <c r="AF39" s="238"/>
      <c r="AG39" s="1"/>
    </row>
    <row r="40" spans="5:33" ht="16.899999999999999" customHeight="1" thickBot="1">
      <c r="E40" s="239"/>
      <c r="F40" s="240" t="s">
        <v>69</v>
      </c>
      <c r="G40" s="241">
        <f t="shared" ref="G40:R40" si="10">(G39-G38)^2</f>
        <v>0</v>
      </c>
      <c r="H40" s="242">
        <f t="shared" si="10"/>
        <v>0.23735872555235762</v>
      </c>
      <c r="I40" s="242">
        <f t="shared" si="10"/>
        <v>10.14961230990129</v>
      </c>
      <c r="J40" s="242">
        <f t="shared" si="10"/>
        <v>1.7258312668342022E-2</v>
      </c>
      <c r="K40" s="242">
        <f t="shared" si="10"/>
        <v>7.0627496222713175E-4</v>
      </c>
      <c r="L40" s="242">
        <f t="shared" si="10"/>
        <v>7.2113500768593797E-2</v>
      </c>
      <c r="M40" s="242">
        <f t="shared" si="10"/>
        <v>4.5785435780627916E-2</v>
      </c>
      <c r="N40" s="242">
        <f t="shared" si="10"/>
        <v>0.12231205400300844</v>
      </c>
      <c r="O40" s="242">
        <f t="shared" si="10"/>
        <v>8.7502272710781231E-2</v>
      </c>
      <c r="P40" s="242">
        <f t="shared" si="10"/>
        <v>0.19554490825512427</v>
      </c>
      <c r="Q40" s="242">
        <f t="shared" si="10"/>
        <v>1.7181517978965642E-2</v>
      </c>
      <c r="R40" s="242">
        <f t="shared" si="10"/>
        <v>0.25405716614527607</v>
      </c>
      <c r="S40" s="242"/>
      <c r="T40" s="242"/>
      <c r="U40" s="242"/>
      <c r="V40" s="242"/>
      <c r="W40" s="243"/>
      <c r="X40" s="244" t="s">
        <v>70</v>
      </c>
      <c r="Y40" s="245">
        <f>SUM(G40:W40)</f>
        <v>11.199432478726596</v>
      </c>
      <c r="Z40" s="147"/>
      <c r="AA40" s="148"/>
      <c r="AB40" s="6"/>
      <c r="AC40" s="6"/>
      <c r="AD40" s="6"/>
      <c r="AE40" s="238"/>
      <c r="AF40" s="238"/>
      <c r="AG40" s="1"/>
    </row>
    <row r="41" spans="5:33" ht="16.149999999999999" customHeight="1">
      <c r="E41" s="246" t="s">
        <v>86</v>
      </c>
      <c r="F41" s="247" t="s">
        <v>62</v>
      </c>
      <c r="G41" s="248">
        <v>8.5</v>
      </c>
      <c r="H41" s="249">
        <v>9</v>
      </c>
      <c r="I41" s="249">
        <v>13</v>
      </c>
      <c r="J41" s="249">
        <v>19</v>
      </c>
      <c r="K41" s="249">
        <v>26</v>
      </c>
      <c r="L41" s="249">
        <v>33</v>
      </c>
      <c r="M41" s="249">
        <v>37</v>
      </c>
      <c r="N41" s="249">
        <v>40</v>
      </c>
      <c r="O41" s="249">
        <v>43</v>
      </c>
      <c r="P41" s="249">
        <v>45</v>
      </c>
      <c r="Q41" s="249">
        <v>48</v>
      </c>
      <c r="R41" s="249">
        <v>51</v>
      </c>
      <c r="S41" s="249"/>
      <c r="T41" s="249"/>
      <c r="U41" s="249"/>
      <c r="V41" s="249"/>
      <c r="W41" s="250"/>
      <c r="X41" s="251">
        <v>7.8808057316680901E-3</v>
      </c>
      <c r="Y41" s="252">
        <v>-2.9468048461466624E-6</v>
      </c>
      <c r="Z41" s="252">
        <f>G41</f>
        <v>8.5</v>
      </c>
      <c r="AA41" s="253">
        <v>0</v>
      </c>
      <c r="AB41" s="6"/>
      <c r="AC41" s="6"/>
      <c r="AD41" s="6"/>
      <c r="AE41" s="254"/>
      <c r="AF41" s="6"/>
      <c r="AG41" s="1"/>
    </row>
    <row r="42" spans="5:33" ht="16.149999999999999" customHeight="1">
      <c r="E42" s="131"/>
      <c r="F42" s="255" t="s">
        <v>65</v>
      </c>
      <c r="G42" s="256">
        <f t="shared" ref="G42:R42" si="11">$G$41*(1+$X$41*(G22-$G$22)+$Y$41*(G22-$G$22)^2)</f>
        <v>8.5</v>
      </c>
      <c r="H42" s="257">
        <f t="shared" si="11"/>
        <v>9.8297178379066779</v>
      </c>
      <c r="I42" s="257">
        <f t="shared" si="11"/>
        <v>14.94820645999541</v>
      </c>
      <c r="J42" s="257">
        <f t="shared" si="11"/>
        <v>20.895456096145885</v>
      </c>
      <c r="K42" s="257">
        <f t="shared" si="11"/>
        <v>26.341748908451432</v>
      </c>
      <c r="L42" s="257">
        <f t="shared" si="11"/>
        <v>31.287084896912049</v>
      </c>
      <c r="M42" s="257">
        <f t="shared" si="11"/>
        <v>35.731464061527724</v>
      </c>
      <c r="N42" s="257">
        <f t="shared" si="11"/>
        <v>39.674886402298476</v>
      </c>
      <c r="O42" s="257">
        <f t="shared" si="11"/>
        <v>43.117351919224284</v>
      </c>
      <c r="P42" s="257">
        <f t="shared" si="11"/>
        <v>46.058860612305168</v>
      </c>
      <c r="Q42" s="257">
        <f t="shared" si="11"/>
        <v>48.499412481541114</v>
      </c>
      <c r="R42" s="257">
        <f t="shared" si="11"/>
        <v>50.439007526932137</v>
      </c>
      <c r="S42" s="257"/>
      <c r="T42" s="257"/>
      <c r="U42" s="257"/>
      <c r="V42" s="257"/>
      <c r="W42" s="258"/>
      <c r="X42" s="136"/>
      <c r="Y42" s="137"/>
      <c r="Z42" s="137"/>
      <c r="AA42" s="161"/>
      <c r="AB42" s="6"/>
      <c r="AC42" s="6"/>
      <c r="AD42" s="6"/>
      <c r="AE42" s="6"/>
      <c r="AF42" s="6"/>
      <c r="AG42" s="1"/>
    </row>
    <row r="43" spans="5:33" ht="16.899999999999999" customHeight="1" thickBot="1">
      <c r="E43" s="140"/>
      <c r="F43" s="259" t="s">
        <v>69</v>
      </c>
      <c r="G43" s="260">
        <f t="shared" ref="G43:R43" si="12">(G42-G41)^2</f>
        <v>0</v>
      </c>
      <c r="H43" s="261">
        <f t="shared" si="12"/>
        <v>0.6884316905405321</v>
      </c>
      <c r="I43" s="261">
        <f t="shared" si="12"/>
        <v>3.7955084107678458</v>
      </c>
      <c r="J43" s="261">
        <f t="shared" si="12"/>
        <v>3.5927538124165994</v>
      </c>
      <c r="K43" s="261">
        <f t="shared" si="12"/>
        <v>0.11679231642774542</v>
      </c>
      <c r="L43" s="261">
        <f t="shared" si="12"/>
        <v>2.9340781503868065</v>
      </c>
      <c r="M43" s="261">
        <f t="shared" si="12"/>
        <v>1.6091834271957377</v>
      </c>
      <c r="N43" s="261">
        <f t="shared" si="12"/>
        <v>0.10569885141042827</v>
      </c>
      <c r="O43" s="261">
        <f t="shared" si="12"/>
        <v>1.3771472945622774E-2</v>
      </c>
      <c r="P43" s="261">
        <f t="shared" si="12"/>
        <v>1.1211857962912744</v>
      </c>
      <c r="Q43" s="261">
        <f t="shared" si="12"/>
        <v>0.2494128267190536</v>
      </c>
      <c r="R43" s="261">
        <f t="shared" si="12"/>
        <v>0.31471255483879679</v>
      </c>
      <c r="S43" s="261"/>
      <c r="T43" s="261"/>
      <c r="U43" s="261"/>
      <c r="V43" s="261"/>
      <c r="W43" s="262"/>
      <c r="X43" s="263" t="s">
        <v>70</v>
      </c>
      <c r="Y43" s="264">
        <f>SUM(G43:W43)</f>
        <v>14.541529309940444</v>
      </c>
      <c r="Z43" s="147"/>
      <c r="AA43" s="148"/>
      <c r="AB43" s="6"/>
      <c r="AC43" s="6"/>
      <c r="AD43" s="6"/>
      <c r="AE43" s="6"/>
      <c r="AF43" s="6"/>
      <c r="AG43" s="1"/>
    </row>
    <row r="44" spans="5:33" ht="16.149999999999999" customHeight="1">
      <c r="E44" s="265" t="s">
        <v>87</v>
      </c>
      <c r="F44" s="266"/>
      <c r="G44" s="267"/>
      <c r="H44" s="268">
        <v>1.7</v>
      </c>
      <c r="I44" s="268"/>
      <c r="J44" s="268"/>
      <c r="K44" s="268"/>
      <c r="L44" s="268"/>
      <c r="M44" s="268"/>
      <c r="N44" s="268"/>
      <c r="O44" s="268"/>
      <c r="P44" s="268"/>
      <c r="Q44" s="268"/>
      <c r="R44" s="268"/>
      <c r="S44" s="268"/>
      <c r="T44" s="268"/>
      <c r="U44" s="268"/>
      <c r="V44" s="268"/>
      <c r="W44" s="269"/>
      <c r="X44" s="270">
        <v>0</v>
      </c>
      <c r="Y44" s="271">
        <v>0</v>
      </c>
      <c r="Z44" s="271">
        <f>H44</f>
        <v>1.7</v>
      </c>
      <c r="AA44" s="272">
        <v>0</v>
      </c>
      <c r="AB44" s="6"/>
      <c r="AC44" s="6"/>
      <c r="AD44" s="6"/>
      <c r="AE44" s="6"/>
      <c r="AF44" s="6"/>
      <c r="AG44" s="1"/>
    </row>
    <row r="45" spans="5:33" ht="16.149999999999999" customHeight="1">
      <c r="E45" s="273"/>
      <c r="F45" s="274"/>
      <c r="G45" s="275"/>
      <c r="H45" s="276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7"/>
      <c r="X45" s="278"/>
      <c r="Y45" s="138"/>
      <c r="Z45" s="138"/>
      <c r="AA45" s="139"/>
      <c r="AB45" s="6"/>
      <c r="AC45" s="6"/>
      <c r="AD45" s="6"/>
      <c r="AE45" s="6"/>
      <c r="AF45" s="6"/>
    </row>
    <row r="46" spans="5:33" ht="16.899999999999999" customHeight="1" thickBot="1">
      <c r="E46" s="279"/>
      <c r="F46" s="280"/>
      <c r="G46" s="281"/>
      <c r="H46" s="282"/>
      <c r="I46" s="282"/>
      <c r="J46" s="282"/>
      <c r="K46" s="282"/>
      <c r="L46" s="282"/>
      <c r="M46" s="282"/>
      <c r="N46" s="282"/>
      <c r="O46" s="282"/>
      <c r="P46" s="282"/>
      <c r="Q46" s="282"/>
      <c r="R46" s="282"/>
      <c r="S46" s="282"/>
      <c r="T46" s="282"/>
      <c r="U46" s="282"/>
      <c r="V46" s="282"/>
      <c r="W46" s="283"/>
      <c r="X46" s="284" t="s">
        <v>70</v>
      </c>
      <c r="Y46" s="285">
        <v>0</v>
      </c>
      <c r="Z46" s="286"/>
      <c r="AA46" s="287"/>
      <c r="AB46" s="6"/>
      <c r="AC46" s="6"/>
      <c r="AD46" s="6"/>
      <c r="AE46" s="6"/>
      <c r="AF46" s="6"/>
    </row>
    <row r="47" spans="5:33" ht="16.149999999999999" customHeight="1"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5:33" ht="16.149999999999999" customHeight="1"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5:32" ht="16.149999999999999" customHeight="1"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5:32" ht="16.149999999999999" customHeight="1"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5:32" ht="16.149999999999999" customHeight="1"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5:32" ht="16.149999999999999" customHeight="1"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5:32" ht="16.149999999999999" customHeight="1"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5:32" ht="16.149999999999999" customHeight="1"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5:32" ht="15.5"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</sheetData>
  <protectedRanges>
    <protectedRange algorithmName="SHA-512" hashValue="fpxqKwMlMKTG0sMeTRRh971Cm8LvM7XG8nG5yMH7pM5SR4C4u7bc/oOHN/vxwJn9wszWEotwdH16N9Q1Z6wVhQ==" saltValue="tQvYJ+gZp4i/l0saoOOCKQ==" spinCount="100000" sqref="N5:N16" name="鉑金管厚度"/>
    <protectedRange algorithmName="SHA-512" hashValue="dS8DcqxLO/wbyd7CaS/0iEJB1NR5nNo9cfGM2L8eFl9Ipc4J8zH40AUH/Zh0KsRX7ijZfCxlHsLgFa5JWZoU2Q==" saltValue="mJr9Bjl1lEKWc32dzHjGzQ==" spinCount="100000" sqref="J5:L16" name="鉑金管直徑"/>
    <protectedRange algorithmName="SHA-512" hashValue="TjUQnUm2vZQFwF4vQHPzO8VVp8o6CU0lN1IQImWDBvG66BouMrVC9/vSwYOTM/FnRqELEBhSLmtFEskr4k3eag==" saltValue="0PDVEfHM9GUYK3VWaJ3W5w==" spinCount="100000" sqref="C5:C16" name="材料種類"/>
    <protectedRange algorithmName="SHA-512" hashValue="sFCfxj9KGQJNmo4U6k5E2xy1vj7HRmlLlnTPE8S7/gH8qQRjJm+YZC0w928A/Ok3BLjB9876uqB4cHD0uX6xIg==" saltValue="6AZQuEGbzNovYUN2Jp+zyA==" spinCount="100000" sqref="H5:H16" name="設計操作溫度"/>
    <protectedRange algorithmName="SHA-512" hashValue="QAzQjCly266LrUF4+fLZCCTS+MW9HhEhYTYrNAERUgrN+OvFIpCrw9MBOXGfe2/C+1F755WI7a+ECAI7Q8lq5g==" saltValue="Q+1uq5IMW/4to0cshapG0g==" spinCount="100000" sqref="M5:M16" name="導電長度"/>
    <protectedRange algorithmName="SHA-512" hashValue="4YzSMEgrHoi1i+DeGFI90WqvohUZNTHq/3FJHgs6lFh62icX+9W1+90IyJ2hq5e6EIAydmqaUkSgMdwoxyFs8w==" saltValue="jc9x1H4UCmTaVFEDOoWVOw==" spinCount="100000" sqref="R5:R16" name="電流密度"/>
  </protectedRanges>
  <mergeCells count="63">
    <mergeCell ref="E44:E46"/>
    <mergeCell ref="X44:X45"/>
    <mergeCell ref="Y44:Y45"/>
    <mergeCell ref="Z44:Z45"/>
    <mergeCell ref="AA44:AA45"/>
    <mergeCell ref="Y46:AA46"/>
    <mergeCell ref="E41:E43"/>
    <mergeCell ref="X41:X42"/>
    <mergeCell ref="Y41:Y42"/>
    <mergeCell ref="Z41:Z42"/>
    <mergeCell ref="AA41:AA42"/>
    <mergeCell ref="Y43:AA43"/>
    <mergeCell ref="E38:E40"/>
    <mergeCell ref="X38:X39"/>
    <mergeCell ref="Y38:Y39"/>
    <mergeCell ref="Z38:Z39"/>
    <mergeCell ref="AA38:AA39"/>
    <mergeCell ref="Y40:AA40"/>
    <mergeCell ref="E35:E37"/>
    <mergeCell ref="X35:X36"/>
    <mergeCell ref="Y35:Y36"/>
    <mergeCell ref="Z35:Z36"/>
    <mergeCell ref="AA35:AA36"/>
    <mergeCell ref="Y37:AA37"/>
    <mergeCell ref="E32:E34"/>
    <mergeCell ref="X32:X33"/>
    <mergeCell ref="Y32:Y33"/>
    <mergeCell ref="Z32:Z33"/>
    <mergeCell ref="AA32:AA33"/>
    <mergeCell ref="Y34:AA34"/>
    <mergeCell ref="E29:E31"/>
    <mergeCell ref="X29:X30"/>
    <mergeCell ref="Y29:Y30"/>
    <mergeCell ref="Z29:Z30"/>
    <mergeCell ref="AA29:AA30"/>
    <mergeCell ref="Y31:AA31"/>
    <mergeCell ref="E26:E28"/>
    <mergeCell ref="X26:X27"/>
    <mergeCell ref="Y26:Y27"/>
    <mergeCell ref="Z26:Z27"/>
    <mergeCell ref="AA26:AA27"/>
    <mergeCell ref="Y28:AA28"/>
    <mergeCell ref="E23:E25"/>
    <mergeCell ref="X23:X24"/>
    <mergeCell ref="Y23:Y24"/>
    <mergeCell ref="Z23:Z24"/>
    <mergeCell ref="AA23:AA24"/>
    <mergeCell ref="Y25:AA25"/>
    <mergeCell ref="A5:A7"/>
    <mergeCell ref="A9:A11"/>
    <mergeCell ref="A13:A15"/>
    <mergeCell ref="E20:F22"/>
    <mergeCell ref="G20:Y20"/>
    <mergeCell ref="G21:W21"/>
    <mergeCell ref="X21:AA21"/>
    <mergeCell ref="A3:B4"/>
    <mergeCell ref="C3:C4"/>
    <mergeCell ref="D3:G3"/>
    <mergeCell ref="J3:L3"/>
    <mergeCell ref="O3:P3"/>
    <mergeCell ref="S3:T3"/>
    <mergeCell ref="J4:L4"/>
    <mergeCell ref="S4:T4"/>
  </mergeCells>
  <phoneticPr fontId="2" type="noConversion"/>
  <conditionalFormatting sqref="AB3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{CF1F2BE5-B567-48C8-9880-1925E1B62319}</x14:id>
        </ext>
      </extLst>
    </cfRule>
  </conditionalFormatting>
  <conditionalFormatting sqref="AB27:AC3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{36FC7C38-16B7-4840-8B58-3C45F2D8DA9D}</x14:id>
        </ext>
      </extLst>
    </cfRule>
  </conditionalFormatting>
  <dataValidations count="1">
    <dataValidation type="list" allowBlank="1" showInputMessage="1" showErrorMessage="1" sqref="C5:C16" xr:uid="{BEA4991B-7FBE-4887-B52B-61645E81C31D}">
      <formula1>$E$23:$E$46</formula1>
    </dataValidation>
  </dataValidations>
  <pageMargins left="0.75" right="0.75" top="1" bottom="1" header="0.4921259845" footer="0.4921259845"/>
  <pageSetup paperSize="9" orientation="portrait" horizontalDpi="1200" verticalDpi="12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1025" r:id="rId4">
          <objectPr defaultSize="0" autoPict="0" r:id="rId5">
            <anchor moveWithCells="1">
              <from>
                <xdr:col>21</xdr:col>
                <xdr:colOff>165100</xdr:colOff>
                <xdr:row>19</xdr:row>
                <xdr:rowOff>38100</xdr:rowOff>
              </from>
              <to>
                <xdr:col>23</xdr:col>
                <xdr:colOff>723900</xdr:colOff>
                <xdr:row>20</xdr:row>
                <xdr:rowOff>0</xdr:rowOff>
              </to>
            </anchor>
          </objectPr>
        </oleObject>
      </mc:Choice>
      <mc:Fallback>
        <oleObject progId="Equation.3" shapeId="1025" r:id="rId4"/>
      </mc:Fallback>
    </mc:AlternateContent>
    <mc:AlternateContent xmlns:mc="http://schemas.openxmlformats.org/markup-compatibility/2006">
      <mc:Choice Requires="x14">
        <oleObject progId="Equation.3" shapeId="1026" r:id="rId6">
          <objectPr defaultSize="0" autoPict="0" r:id="rId7">
            <anchor moveWithCells="1">
              <from>
                <xdr:col>27</xdr:col>
                <xdr:colOff>622300</xdr:colOff>
                <xdr:row>19</xdr:row>
                <xdr:rowOff>57150</xdr:rowOff>
              </from>
              <to>
                <xdr:col>34</xdr:col>
                <xdr:colOff>38100</xdr:colOff>
                <xdr:row>33</xdr:row>
                <xdr:rowOff>114300</xdr:rowOff>
              </to>
            </anchor>
          </objectPr>
        </oleObject>
      </mc:Choice>
      <mc:Fallback>
        <oleObject progId="Equation.3" shapeId="1026" r:id="rId6"/>
      </mc:Fallback>
    </mc:AlternateContent>
    <mc:AlternateContent xmlns:mc="http://schemas.openxmlformats.org/markup-compatibility/2006">
      <mc:Choice Requires="x14">
        <oleObject progId="Equation.3" shapeId="1027" r:id="rId8">
          <objectPr defaultSize="0" autoPict="0" r:id="rId5">
            <anchor moveWithCells="1">
              <from>
                <xdr:col>3</xdr:col>
                <xdr:colOff>133350</xdr:colOff>
                <xdr:row>2</xdr:row>
                <xdr:rowOff>171450</xdr:rowOff>
              </from>
              <to>
                <xdr:col>6</xdr:col>
                <xdr:colOff>146050</xdr:colOff>
                <xdr:row>2</xdr:row>
                <xdr:rowOff>450850</xdr:rowOff>
              </to>
            </anchor>
          </objectPr>
        </oleObject>
      </mc:Choice>
      <mc:Fallback>
        <oleObject progId="Equation.3" shapeId="1027" r:id="rId8"/>
      </mc:Fallback>
    </mc:AlternateContent>
  </oleObjec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F1F2BE5-B567-48C8-9880-1925E1B623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AB30</xm:sqref>
        </x14:conditionalFormatting>
        <x14:conditionalFormatting xmlns:xm="http://schemas.microsoft.com/office/excel/2006/main">
          <x14:cfRule type="dataBar" id="{36FC7C38-16B7-4840-8B58-3C45F2D8DA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AB27:AC34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鉑金電氣計算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Lu</dc:creator>
  <cp:lastModifiedBy>Steven Lu</cp:lastModifiedBy>
  <dcterms:created xsi:type="dcterms:W3CDTF">2026-08-08T05:59:08Z</dcterms:created>
  <dcterms:modified xsi:type="dcterms:W3CDTF">2026-08-08T06:00:43Z</dcterms:modified>
</cp:coreProperties>
</file>