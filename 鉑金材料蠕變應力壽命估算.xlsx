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nForm\Pt_Optimize\"/>
    </mc:Choice>
  </mc:AlternateContent>
  <xr:revisionPtr revIDLastSave="0" documentId="8_{8482785E-5D75-4044-8A2E-F1A4412F251D}" xr6:coauthVersionLast="47" xr6:coauthVersionMax="47" xr10:uidLastSave="{00000000-0000-0000-0000-000000000000}"/>
  <bookViews>
    <workbookView xWindow="4010" yWindow="3530" windowWidth="34390" windowHeight="18070" xr2:uid="{448195D6-19E2-4893-AEA2-1250D41A7C7F}"/>
  </bookViews>
  <sheets>
    <sheet name="鉑金材料蠕變應力壽命估算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" i="2" l="1"/>
  <c r="J27" i="2"/>
  <c r="I27" i="2"/>
  <c r="H27" i="2"/>
  <c r="G27" i="2"/>
  <c r="F27" i="2"/>
  <c r="P26" i="2"/>
  <c r="M26" i="2"/>
  <c r="O26" i="2" s="1"/>
  <c r="K26" i="2"/>
  <c r="J26" i="2"/>
  <c r="I26" i="2"/>
  <c r="H26" i="2"/>
  <c r="G26" i="2"/>
  <c r="F26" i="2"/>
  <c r="K25" i="2"/>
  <c r="J25" i="2"/>
  <c r="I25" i="2"/>
  <c r="H25" i="2"/>
  <c r="G25" i="2"/>
  <c r="F25" i="2"/>
  <c r="P24" i="2"/>
  <c r="M24" i="2"/>
  <c r="K24" i="2"/>
  <c r="J24" i="2"/>
  <c r="I24" i="2"/>
  <c r="H24" i="2"/>
  <c r="G24" i="2"/>
  <c r="F24" i="2"/>
  <c r="N24" i="2" s="1"/>
  <c r="K23" i="2"/>
  <c r="J23" i="2"/>
  <c r="I23" i="2"/>
  <c r="H23" i="2"/>
  <c r="G23" i="2"/>
  <c r="F23" i="2"/>
  <c r="P22" i="2"/>
  <c r="M22" i="2"/>
  <c r="K22" i="2"/>
  <c r="J22" i="2"/>
  <c r="I22" i="2"/>
  <c r="H22" i="2"/>
  <c r="G22" i="2"/>
  <c r="F22" i="2"/>
  <c r="K21" i="2"/>
  <c r="J21" i="2"/>
  <c r="I21" i="2"/>
  <c r="H21" i="2"/>
  <c r="G21" i="2"/>
  <c r="F21" i="2"/>
  <c r="O20" i="2" s="1"/>
  <c r="P20" i="2"/>
  <c r="M20" i="2"/>
  <c r="K20" i="2"/>
  <c r="J20" i="2"/>
  <c r="I20" i="2"/>
  <c r="H20" i="2"/>
  <c r="G20" i="2"/>
  <c r="F20" i="2"/>
  <c r="N20" i="2" s="1"/>
  <c r="K19" i="2"/>
  <c r="J19" i="2"/>
  <c r="I19" i="2"/>
  <c r="H19" i="2"/>
  <c r="G19" i="2"/>
  <c r="F19" i="2"/>
  <c r="P18" i="2"/>
  <c r="M18" i="2"/>
  <c r="K18" i="2"/>
  <c r="J18" i="2"/>
  <c r="I18" i="2"/>
  <c r="H18" i="2"/>
  <c r="G18" i="2"/>
  <c r="F18" i="2"/>
  <c r="K17" i="2"/>
  <c r="J17" i="2"/>
  <c r="I17" i="2"/>
  <c r="H17" i="2"/>
  <c r="G17" i="2"/>
  <c r="F17" i="2"/>
  <c r="P16" i="2"/>
  <c r="M16" i="2"/>
  <c r="K16" i="2"/>
  <c r="J16" i="2"/>
  <c r="I16" i="2"/>
  <c r="H16" i="2"/>
  <c r="G16" i="2"/>
  <c r="F16" i="2"/>
  <c r="K15" i="2"/>
  <c r="J15" i="2"/>
  <c r="I15" i="2"/>
  <c r="H15" i="2"/>
  <c r="G15" i="2"/>
  <c r="F15" i="2"/>
  <c r="P14" i="2"/>
  <c r="O14" i="2"/>
  <c r="M14" i="2"/>
  <c r="K14" i="2"/>
  <c r="J14" i="2"/>
  <c r="I14" i="2"/>
  <c r="H14" i="2"/>
  <c r="G14" i="2"/>
  <c r="F14" i="2"/>
  <c r="K13" i="2"/>
  <c r="J13" i="2"/>
  <c r="I13" i="2"/>
  <c r="H13" i="2"/>
  <c r="G13" i="2"/>
  <c r="F13" i="2"/>
  <c r="P12" i="2"/>
  <c r="M12" i="2"/>
  <c r="K12" i="2"/>
  <c r="J12" i="2"/>
  <c r="I12" i="2"/>
  <c r="H12" i="2"/>
  <c r="G12" i="2"/>
  <c r="F12" i="2"/>
  <c r="K11" i="2"/>
  <c r="J11" i="2"/>
  <c r="I11" i="2"/>
  <c r="H11" i="2"/>
  <c r="G11" i="2"/>
  <c r="F11" i="2"/>
  <c r="P10" i="2"/>
  <c r="M10" i="2"/>
  <c r="K10" i="2"/>
  <c r="J10" i="2"/>
  <c r="I10" i="2"/>
  <c r="H10" i="2"/>
  <c r="G10" i="2"/>
  <c r="F10" i="2"/>
  <c r="R9" i="2"/>
  <c r="O16" i="2" l="1"/>
  <c r="N26" i="2"/>
  <c r="N14" i="2"/>
  <c r="N18" i="2"/>
  <c r="N12" i="2"/>
  <c r="O12" i="2"/>
  <c r="N16" i="2"/>
  <c r="R16" i="2" s="1"/>
  <c r="O18" i="2"/>
  <c r="N22" i="2"/>
  <c r="O24" i="2"/>
  <c r="O10" i="2"/>
  <c r="R12" i="2"/>
  <c r="R14" i="2"/>
  <c r="R20" i="2"/>
  <c r="T20" i="2" s="1"/>
  <c r="R26" i="2"/>
  <c r="T26" i="2" s="1"/>
  <c r="R18" i="2"/>
  <c r="T18" i="2" s="1"/>
  <c r="R24" i="2"/>
  <c r="T24" i="2" s="1"/>
  <c r="N10" i="2"/>
  <c r="R10" i="2" s="1"/>
  <c r="O22" i="2"/>
  <c r="R22" i="2" s="1"/>
  <c r="T22" i="2" s="1"/>
</calcChain>
</file>

<file path=xl/sharedStrings.xml><?xml version="1.0" encoding="utf-8"?>
<sst xmlns="http://schemas.openxmlformats.org/spreadsheetml/2006/main" count="185" uniqueCount="70">
  <si>
    <r>
      <rPr>
        <sz val="12"/>
        <color theme="1"/>
        <rFont val="微軟正黑體"/>
        <family val="2"/>
        <charset val="136"/>
      </rPr>
      <t>項目名稱</t>
    </r>
    <phoneticPr fontId="5" type="noConversion"/>
  </si>
  <si>
    <r>
      <rPr>
        <sz val="12"/>
        <color theme="1"/>
        <rFont val="微軟正黑體"/>
        <family val="2"/>
        <charset val="136"/>
      </rPr>
      <t>設備名稱</t>
    </r>
    <phoneticPr fontId="5" type="noConversion"/>
  </si>
  <si>
    <t>使用鉑金材料</t>
    <phoneticPr fontId="5" type="noConversion"/>
  </si>
  <si>
    <r>
      <t>c</t>
    </r>
    <r>
      <rPr>
        <vertAlign val="subscript"/>
        <sz val="12"/>
        <color theme="1"/>
        <rFont val="Arial"/>
        <family val="2"/>
      </rPr>
      <t>5</t>
    </r>
    <phoneticPr fontId="5" type="noConversion"/>
  </si>
  <si>
    <r>
      <t>c</t>
    </r>
    <r>
      <rPr>
        <vertAlign val="subscript"/>
        <sz val="12"/>
        <color theme="1"/>
        <rFont val="Arial"/>
        <family val="2"/>
      </rPr>
      <t>4</t>
    </r>
    <phoneticPr fontId="5" type="noConversion"/>
  </si>
  <si>
    <r>
      <t>c</t>
    </r>
    <r>
      <rPr>
        <vertAlign val="subscript"/>
        <sz val="12"/>
        <color theme="1"/>
        <rFont val="Arial"/>
        <family val="2"/>
      </rPr>
      <t>3</t>
    </r>
    <phoneticPr fontId="5" type="noConversion"/>
  </si>
  <si>
    <r>
      <t>c</t>
    </r>
    <r>
      <rPr>
        <vertAlign val="subscript"/>
        <sz val="12"/>
        <color theme="1"/>
        <rFont val="Arial"/>
        <family val="2"/>
      </rPr>
      <t>2</t>
    </r>
    <phoneticPr fontId="5" type="noConversion"/>
  </si>
  <si>
    <r>
      <t>c</t>
    </r>
    <r>
      <rPr>
        <vertAlign val="subscript"/>
        <sz val="12"/>
        <color theme="1"/>
        <rFont val="Arial"/>
        <family val="2"/>
      </rPr>
      <t>1</t>
    </r>
    <phoneticPr fontId="5" type="noConversion"/>
  </si>
  <si>
    <r>
      <t>c</t>
    </r>
    <r>
      <rPr>
        <vertAlign val="subscript"/>
        <sz val="12"/>
        <color theme="1"/>
        <rFont val="Arial"/>
        <family val="2"/>
      </rPr>
      <t>0</t>
    </r>
    <phoneticPr fontId="5" type="noConversion"/>
  </si>
  <si>
    <r>
      <rPr>
        <sz val="12"/>
        <color theme="1"/>
        <rFont val="微軟正黑體"/>
        <family val="2"/>
        <charset val="136"/>
      </rPr>
      <t>使用溫度(</t>
    </r>
    <r>
      <rPr>
        <sz val="12"/>
        <color theme="1"/>
        <rFont val="新細明體"/>
        <family val="1"/>
        <charset val="136"/>
      </rPr>
      <t>℃</t>
    </r>
    <r>
      <rPr>
        <sz val="12"/>
        <color theme="1"/>
        <rFont val="微軟正黑體"/>
        <family val="2"/>
        <charset val="136"/>
      </rPr>
      <t>)</t>
    </r>
    <phoneticPr fontId="5" type="noConversion"/>
  </si>
  <si>
    <r>
      <t>a</t>
    </r>
    <r>
      <rPr>
        <vertAlign val="subscript"/>
        <sz val="12"/>
        <color theme="1"/>
        <rFont val="Arial"/>
        <family val="2"/>
      </rPr>
      <t>(T)</t>
    </r>
    <phoneticPr fontId="5" type="noConversion"/>
  </si>
  <si>
    <r>
      <t>b</t>
    </r>
    <r>
      <rPr>
        <vertAlign val="subscript"/>
        <sz val="12"/>
        <color theme="1"/>
        <rFont val="Arial"/>
        <family val="2"/>
      </rPr>
      <t>(T)</t>
    </r>
    <phoneticPr fontId="5" type="noConversion"/>
  </si>
  <si>
    <r>
      <rPr>
        <sz val="12"/>
        <color theme="1"/>
        <rFont val="微軟正黑體"/>
        <family val="2"/>
        <charset val="136"/>
      </rPr>
      <t>使用條件</t>
    </r>
    <phoneticPr fontId="5" type="noConversion"/>
  </si>
  <si>
    <t>輸入鉑金使用應力(Mpa)</t>
  </si>
  <si>
    <r>
      <rPr>
        <sz val="12"/>
        <color theme="1"/>
        <rFont val="細明體"/>
        <family val="3"/>
        <charset val="136"/>
      </rPr>
      <t>實際使用壽命</t>
    </r>
    <r>
      <rPr>
        <sz val="12"/>
        <color theme="1"/>
        <rFont val="Arial"/>
        <family val="2"/>
      </rPr>
      <t>(HR)</t>
    </r>
    <phoneticPr fontId="5" type="noConversion"/>
  </si>
  <si>
    <r>
      <rPr>
        <sz val="12"/>
        <color theme="1"/>
        <rFont val="新細明體"/>
        <family val="2"/>
        <charset val="136"/>
      </rPr>
      <t>誤差</t>
    </r>
    <r>
      <rPr>
        <sz val="12"/>
        <color theme="1"/>
        <rFont val="Arial"/>
        <family val="2"/>
      </rPr>
      <t>(%)</t>
    </r>
    <phoneticPr fontId="5" type="noConversion"/>
  </si>
  <si>
    <t>aaa</t>
    <phoneticPr fontId="5" type="noConversion"/>
  </si>
  <si>
    <t>Umicore-FKS-Rigilit-PtRh10</t>
  </si>
  <si>
    <r>
      <t>C</t>
    </r>
    <r>
      <rPr>
        <vertAlign val="subscript"/>
        <sz val="12"/>
        <color theme="1"/>
        <rFont val="Arial"/>
        <family val="2"/>
      </rPr>
      <t>a</t>
    </r>
    <phoneticPr fontId="5" type="noConversion"/>
  </si>
  <si>
    <t>a</t>
  </si>
  <si>
    <r>
      <t>C</t>
    </r>
    <r>
      <rPr>
        <vertAlign val="subscript"/>
        <sz val="12"/>
        <color theme="1"/>
        <rFont val="Arial"/>
        <family val="2"/>
      </rPr>
      <t>b</t>
    </r>
    <phoneticPr fontId="5" type="noConversion"/>
  </si>
  <si>
    <t>b</t>
  </si>
  <si>
    <t>Umicore-FKS-Rigilit-Pt</t>
  </si>
  <si>
    <t>σ</t>
  </si>
  <si>
    <t>Umicore-PtRh 10</t>
  </si>
  <si>
    <t>Umicore-PtRh 20</t>
  </si>
  <si>
    <t>Tanaka-ZGS-PtRh 10</t>
    <phoneticPr fontId="5" type="noConversion"/>
  </si>
  <si>
    <t>Tanaka-ZGS-Pt</t>
  </si>
  <si>
    <t>Tanaka-PtRh 10</t>
  </si>
  <si>
    <t>Tanaka-PtRh 20</t>
  </si>
  <si>
    <t>Tanaka-Pure Pt</t>
  </si>
  <si>
    <t>Tanaka-ZGS-Pt</t>
    <phoneticPr fontId="5" type="noConversion"/>
  </si>
  <si>
    <t>1500C</t>
  </si>
  <si>
    <t>time</t>
  </si>
  <si>
    <t>stress</t>
  </si>
  <si>
    <t>1400C</t>
  </si>
  <si>
    <t>1300C</t>
  </si>
  <si>
    <t>1200C</t>
  </si>
  <si>
    <t>1100C</t>
  </si>
  <si>
    <t>1000C</t>
  </si>
  <si>
    <t>Tanaka-ZGSPtRh10</t>
    <phoneticPr fontId="5" type="noConversion"/>
  </si>
  <si>
    <t>1500C</t>
    <phoneticPr fontId="5" type="noConversion"/>
  </si>
  <si>
    <t>time</t>
    <phoneticPr fontId="5" type="noConversion"/>
  </si>
  <si>
    <t>stress</t>
    <phoneticPr fontId="5" type="noConversion"/>
  </si>
  <si>
    <t>1400C</t>
    <phoneticPr fontId="5" type="noConversion"/>
  </si>
  <si>
    <t>1300C</t>
    <phoneticPr fontId="5" type="noConversion"/>
  </si>
  <si>
    <t>1200C</t>
    <phoneticPr fontId="5" type="noConversion"/>
  </si>
  <si>
    <t>1100C</t>
    <phoneticPr fontId="5" type="noConversion"/>
  </si>
  <si>
    <t>1000C</t>
    <phoneticPr fontId="5" type="noConversion"/>
  </si>
  <si>
    <t>Tanaka-PtRh10</t>
    <phoneticPr fontId="5" type="noConversion"/>
  </si>
  <si>
    <t>Tanaka-PtRh20</t>
    <phoneticPr fontId="5" type="noConversion"/>
  </si>
  <si>
    <t>Tanaka-Pure Pt</t>
    <phoneticPr fontId="5" type="noConversion"/>
  </si>
  <si>
    <t>使用條件</t>
    <phoneticPr fontId="5" type="noConversion"/>
  </si>
  <si>
    <t>鉑金材料</t>
    <phoneticPr fontId="5" type="noConversion"/>
  </si>
  <si>
    <r>
      <t>c</t>
    </r>
    <r>
      <rPr>
        <vertAlign val="subscript"/>
        <sz val="12"/>
        <color theme="1"/>
        <rFont val="等线"/>
        <family val="1"/>
        <charset val="136"/>
        <scheme val="minor"/>
      </rPr>
      <t>5</t>
    </r>
    <phoneticPr fontId="5" type="noConversion"/>
  </si>
  <si>
    <r>
      <t>c</t>
    </r>
    <r>
      <rPr>
        <vertAlign val="subscript"/>
        <sz val="12"/>
        <color theme="1"/>
        <rFont val="等线"/>
        <family val="1"/>
        <charset val="136"/>
        <scheme val="minor"/>
      </rPr>
      <t>4</t>
    </r>
    <phoneticPr fontId="5" type="noConversion"/>
  </si>
  <si>
    <r>
      <t>c</t>
    </r>
    <r>
      <rPr>
        <vertAlign val="subscript"/>
        <sz val="12"/>
        <color theme="1"/>
        <rFont val="等线"/>
        <family val="1"/>
        <charset val="136"/>
        <scheme val="minor"/>
      </rPr>
      <t>3</t>
    </r>
    <phoneticPr fontId="5" type="noConversion"/>
  </si>
  <si>
    <r>
      <t>c</t>
    </r>
    <r>
      <rPr>
        <vertAlign val="subscript"/>
        <sz val="12"/>
        <color theme="1"/>
        <rFont val="等线"/>
        <family val="1"/>
        <charset val="136"/>
        <scheme val="minor"/>
      </rPr>
      <t>2</t>
    </r>
    <phoneticPr fontId="5" type="noConversion"/>
  </si>
  <si>
    <r>
      <t>c</t>
    </r>
    <r>
      <rPr>
        <vertAlign val="subscript"/>
        <sz val="12"/>
        <color theme="1"/>
        <rFont val="等线"/>
        <family val="1"/>
        <charset val="136"/>
        <scheme val="minor"/>
      </rPr>
      <t>1</t>
    </r>
    <phoneticPr fontId="5" type="noConversion"/>
  </si>
  <si>
    <r>
      <t>c</t>
    </r>
    <r>
      <rPr>
        <vertAlign val="subscript"/>
        <sz val="12"/>
        <color theme="1"/>
        <rFont val="等线"/>
        <family val="1"/>
        <charset val="136"/>
        <scheme val="minor"/>
      </rPr>
      <t>0</t>
    </r>
    <phoneticPr fontId="5" type="noConversion"/>
  </si>
  <si>
    <t>輸入鉑金使用應力(Mpa)</t>
    <phoneticPr fontId="5" type="noConversion"/>
  </si>
  <si>
    <t>Umicore-FKS-Rigilit-PtRh10</t>
    <phoneticPr fontId="5" type="noConversion"/>
  </si>
  <si>
    <t>a</t>
    <phoneticPr fontId="5" type="noConversion"/>
  </si>
  <si>
    <t>輸入鉑金使用壽命(HR)</t>
    <phoneticPr fontId="5" type="noConversion"/>
  </si>
  <si>
    <t>Umicore-FKS-Rigilit-Pt</t>
    <phoneticPr fontId="5" type="noConversion"/>
  </si>
  <si>
    <t>Umicore-PtRh 10</t>
    <phoneticPr fontId="5" type="noConversion"/>
  </si>
  <si>
    <t>Umicore-PtRh 20</t>
    <phoneticPr fontId="5" type="noConversion"/>
  </si>
  <si>
    <t>Tanaka-PtRh 10</t>
    <phoneticPr fontId="5" type="noConversion"/>
  </si>
  <si>
    <t>Tanaka-PtRh 20</t>
    <phoneticPr fontId="5" type="noConversion"/>
  </si>
  <si>
    <t>b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</si>
</sst>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12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color theme="1"/>
      <name val="微軟正黑體"/>
      <family val="2"/>
      <charset val="136"/>
    </font>
    <font>
      <sz val="9"/>
      <name val="等线"/>
      <family val="2"/>
      <charset val="136"/>
      <scheme val="minor"/>
    </font>
    <font>
      <vertAlign val="subscript"/>
      <sz val="12"/>
      <color theme="1"/>
      <name val="Arial"/>
      <family val="2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6"/>
    </font>
    <font>
      <b/>
      <sz val="12"/>
      <color theme="1"/>
      <name val="Arial"/>
      <family val="2"/>
    </font>
    <font>
      <vertAlign val="subscript"/>
      <sz val="12"/>
      <color theme="1"/>
      <name val="等线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3" xfId="1" applyFont="1" applyFill="1" applyBorder="1">
      <alignment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4" xfId="1" applyFont="1" applyFill="1" applyBorder="1">
      <alignment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3" borderId="9" xfId="1" applyFont="1" applyFill="1" applyBorder="1">
      <alignment vertical="center"/>
    </xf>
    <xf numFmtId="0" fontId="3" fillId="4" borderId="10" xfId="1" applyFont="1" applyFill="1" applyBorder="1">
      <alignment vertical="center"/>
    </xf>
    <xf numFmtId="0" fontId="3" fillId="2" borderId="11" xfId="1" applyFont="1" applyFill="1" applyBorder="1">
      <alignment vertic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>
      <alignment vertical="center"/>
    </xf>
    <xf numFmtId="0" fontId="3" fillId="0" borderId="14" xfId="1" applyFont="1" applyBorder="1">
      <alignment vertical="center"/>
    </xf>
    <xf numFmtId="176" fontId="3" fillId="5" borderId="15" xfId="1" applyNumberFormat="1" applyFont="1" applyFill="1" applyBorder="1">
      <alignment vertical="center"/>
    </xf>
    <xf numFmtId="176" fontId="3" fillId="0" borderId="13" xfId="1" applyNumberFormat="1" applyFont="1" applyBorder="1">
      <alignment vertical="center"/>
    </xf>
    <xf numFmtId="176" fontId="3" fillId="6" borderId="13" xfId="1" applyNumberFormat="1" applyFont="1" applyFill="1" applyBorder="1">
      <alignment vertical="center"/>
    </xf>
    <xf numFmtId="176" fontId="3" fillId="6" borderId="16" xfId="1" applyNumberFormat="1" applyFont="1" applyFill="1" applyBorder="1">
      <alignment vertical="center"/>
    </xf>
    <xf numFmtId="0" fontId="3" fillId="0" borderId="12" xfId="1" applyFont="1" applyBorder="1" applyAlignment="1">
      <alignment horizontal="center" vertical="center"/>
    </xf>
    <xf numFmtId="176" fontId="3" fillId="7" borderId="13" xfId="1" applyNumberFormat="1" applyFont="1" applyFill="1" applyBorder="1">
      <alignment vertical="center"/>
    </xf>
    <xf numFmtId="176" fontId="3" fillId="7" borderId="16" xfId="1" applyNumberFormat="1" applyFont="1" applyFill="1" applyBorder="1">
      <alignment vertical="center"/>
    </xf>
    <xf numFmtId="0" fontId="1" fillId="0" borderId="17" xfId="1" applyBorder="1">
      <alignment vertical="center"/>
    </xf>
    <xf numFmtId="0" fontId="3" fillId="3" borderId="18" xfId="1" applyFont="1" applyFill="1" applyBorder="1">
      <alignment vertical="center"/>
    </xf>
    <xf numFmtId="0" fontId="3" fillId="4" borderId="19" xfId="1" applyFont="1" applyFill="1" applyBorder="1">
      <alignment vertical="center"/>
    </xf>
    <xf numFmtId="0" fontId="1" fillId="0" borderId="20" xfId="1" applyBorder="1">
      <alignment vertical="center"/>
    </xf>
    <xf numFmtId="0" fontId="3" fillId="0" borderId="21" xfId="1" applyFont="1" applyBorder="1" applyAlignment="1">
      <alignment horizontal="center" vertical="center"/>
    </xf>
    <xf numFmtId="0" fontId="3" fillId="0" borderId="22" xfId="1" applyFont="1" applyBorder="1">
      <alignment vertical="center"/>
    </xf>
    <xf numFmtId="0" fontId="3" fillId="0" borderId="23" xfId="1" applyFont="1" applyBorder="1">
      <alignment vertical="center"/>
    </xf>
    <xf numFmtId="176" fontId="3" fillId="5" borderId="24" xfId="1" applyNumberFormat="1" applyFont="1" applyFill="1" applyBorder="1">
      <alignment vertical="center"/>
    </xf>
    <xf numFmtId="176" fontId="3" fillId="0" borderId="22" xfId="1" applyNumberFormat="1" applyFont="1" applyBorder="1">
      <alignment vertical="center"/>
    </xf>
    <xf numFmtId="176" fontId="3" fillId="6" borderId="22" xfId="1" applyNumberFormat="1" applyFont="1" applyFill="1" applyBorder="1">
      <alignment vertical="center"/>
    </xf>
    <xf numFmtId="176" fontId="3" fillId="6" borderId="25" xfId="1" applyNumberFormat="1" applyFont="1" applyFill="1" applyBorder="1">
      <alignment vertical="center"/>
    </xf>
    <xf numFmtId="0" fontId="3" fillId="0" borderId="21" xfId="1" applyFont="1" applyBorder="1" applyAlignment="1">
      <alignment horizontal="center" vertical="center"/>
    </xf>
    <xf numFmtId="176" fontId="3" fillId="7" borderId="22" xfId="1" applyNumberFormat="1" applyFont="1" applyFill="1" applyBorder="1">
      <alignment vertical="center"/>
    </xf>
    <xf numFmtId="176" fontId="3" fillId="7" borderId="25" xfId="1" applyNumberFormat="1" applyFont="1" applyFill="1" applyBorder="1">
      <alignment vertical="center"/>
    </xf>
    <xf numFmtId="0" fontId="3" fillId="2" borderId="20" xfId="1" applyFont="1" applyFill="1" applyBorder="1">
      <alignment vertical="center"/>
    </xf>
    <xf numFmtId="176" fontId="3" fillId="8" borderId="22" xfId="1" applyNumberFormat="1" applyFont="1" applyFill="1" applyBorder="1">
      <alignment vertical="center"/>
    </xf>
    <xf numFmtId="177" fontId="3" fillId="7" borderId="25" xfId="1" applyNumberFormat="1" applyFont="1" applyFill="1" applyBorder="1">
      <alignment vertical="center"/>
    </xf>
    <xf numFmtId="176" fontId="3" fillId="9" borderId="26" xfId="1" applyNumberFormat="1" applyFont="1" applyFill="1" applyBorder="1">
      <alignment vertical="center"/>
    </xf>
    <xf numFmtId="10" fontId="10" fillId="4" borderId="26" xfId="1" applyNumberFormat="1" applyFont="1" applyFill="1" applyBorder="1">
      <alignment vertical="center"/>
    </xf>
    <xf numFmtId="176" fontId="3" fillId="9" borderId="11" xfId="1" applyNumberFormat="1" applyFont="1" applyFill="1" applyBorder="1">
      <alignment vertical="center"/>
    </xf>
    <xf numFmtId="10" fontId="10" fillId="4" borderId="11" xfId="1" applyNumberFormat="1" applyFont="1" applyFill="1" applyBorder="1">
      <alignment vertical="center"/>
    </xf>
    <xf numFmtId="176" fontId="3" fillId="9" borderId="20" xfId="1" applyNumberFormat="1" applyFont="1" applyFill="1" applyBorder="1">
      <alignment vertical="center"/>
    </xf>
    <xf numFmtId="0" fontId="1" fillId="0" borderId="18" xfId="1" applyBorder="1">
      <alignment vertical="center"/>
    </xf>
    <xf numFmtId="0" fontId="1" fillId="0" borderId="27" xfId="1" applyBorder="1">
      <alignment vertical="center"/>
    </xf>
    <xf numFmtId="0" fontId="3" fillId="4" borderId="28" xfId="1" applyFont="1" applyFill="1" applyBorder="1">
      <alignment vertical="center"/>
    </xf>
    <xf numFmtId="0" fontId="1" fillId="0" borderId="29" xfId="1" applyBorder="1">
      <alignment vertical="center"/>
    </xf>
    <xf numFmtId="0" fontId="3" fillId="0" borderId="30" xfId="1" applyFont="1" applyBorder="1" applyAlignment="1">
      <alignment horizontal="center" vertical="center"/>
    </xf>
    <xf numFmtId="0" fontId="3" fillId="0" borderId="31" xfId="1" applyFont="1" applyBorder="1">
      <alignment vertical="center"/>
    </xf>
    <xf numFmtId="0" fontId="3" fillId="0" borderId="32" xfId="1" applyFont="1" applyBorder="1">
      <alignment vertical="center"/>
    </xf>
    <xf numFmtId="176" fontId="3" fillId="5" borderId="33" xfId="1" applyNumberFormat="1" applyFont="1" applyFill="1" applyBorder="1">
      <alignment vertical="center"/>
    </xf>
    <xf numFmtId="176" fontId="3" fillId="0" borderId="31" xfId="1" applyNumberFormat="1" applyFont="1" applyBorder="1">
      <alignment vertical="center"/>
    </xf>
    <xf numFmtId="176" fontId="3" fillId="6" borderId="31" xfId="1" applyNumberFormat="1" applyFont="1" applyFill="1" applyBorder="1">
      <alignment vertical="center"/>
    </xf>
    <xf numFmtId="176" fontId="3" fillId="6" borderId="34" xfId="1" applyNumberFormat="1" applyFont="1" applyFill="1" applyBorder="1">
      <alignment vertical="center"/>
    </xf>
    <xf numFmtId="0" fontId="3" fillId="0" borderId="30" xfId="1" applyFont="1" applyBorder="1" applyAlignment="1">
      <alignment horizontal="center" vertical="center"/>
    </xf>
    <xf numFmtId="176" fontId="3" fillId="8" borderId="31" xfId="1" applyNumberFormat="1" applyFont="1" applyFill="1" applyBorder="1">
      <alignment vertical="center"/>
    </xf>
    <xf numFmtId="177" fontId="3" fillId="7" borderId="34" xfId="1" applyNumberFormat="1" applyFont="1" applyFill="1" applyBorder="1">
      <alignment vertical="center"/>
    </xf>
    <xf numFmtId="176" fontId="3" fillId="9" borderId="29" xfId="1" applyNumberFormat="1" applyFont="1" applyFill="1" applyBorder="1">
      <alignment vertical="center"/>
    </xf>
    <xf numFmtId="10" fontId="10" fillId="4" borderId="35" xfId="1" applyNumberFormat="1" applyFont="1" applyFill="1" applyBorder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right" vertical="center"/>
    </xf>
  </cellXfs>
  <cellStyles count="2">
    <cellStyle name="常规" xfId="0" builtinId="0"/>
    <cellStyle name="常规 2" xfId="1" xr:uid="{8945F3E4-72B9-4AB4-AC73-85179D4AED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1484514</xdr:colOff>
      <xdr:row>31</xdr:row>
      <xdr:rowOff>110068</xdr:rowOff>
    </xdr:from>
    <xdr:to>
      <xdr:col>26</xdr:col>
      <xdr:colOff>189672</xdr:colOff>
      <xdr:row>56</xdr:row>
      <xdr:rowOff>47757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C4FE83B-9114-4347-BBE2-30FAB3E21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5264" y="4828118"/>
          <a:ext cx="7684058" cy="485893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203200</xdr:rowOff>
        </xdr:from>
        <xdr:to>
          <xdr:col>5</xdr:col>
          <xdr:colOff>355600</xdr:colOff>
          <xdr:row>6</xdr:row>
          <xdr:rowOff>158750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E86CD5D-B8D1-46D2-A80B-4DD98E72F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7E7F-2FA9-4A4B-BEB8-5F82D17263D4}">
  <dimension ref="B8:Z137"/>
  <sheetViews>
    <sheetView tabSelected="1" workbookViewId="0">
      <selection activeCell="P3" sqref="P3"/>
    </sheetView>
  </sheetViews>
  <sheetFormatPr defaultRowHeight="15.5"/>
  <cols>
    <col min="1" max="1" width="10.33203125" style="1" bestFit="1" customWidth="1"/>
    <col min="2" max="2" width="12.25" style="1" customWidth="1"/>
    <col min="3" max="3" width="14.25" style="1" customWidth="1"/>
    <col min="4" max="4" width="20.5" style="1" customWidth="1"/>
    <col min="5" max="5" width="5.08203125" style="1" customWidth="1"/>
    <col min="6" max="6" width="11.75" style="1" customWidth="1"/>
    <col min="7" max="11" width="8.5" style="1" customWidth="1"/>
    <col min="12" max="12" width="12" style="1" customWidth="1"/>
    <col min="13" max="13" width="9.58203125" style="1" customWidth="1"/>
    <col min="14" max="14" width="9.08203125" style="1" bestFit="1" customWidth="1"/>
    <col min="15" max="15" width="9.5" style="1" bestFit="1" customWidth="1"/>
    <col min="16" max="16" width="16.58203125" style="1" customWidth="1"/>
    <col min="17" max="17" width="22" style="1" customWidth="1"/>
    <col min="18" max="19" width="21" style="1" customWidth="1"/>
    <col min="20" max="20" width="8.6640625" style="1"/>
    <col min="21" max="22" width="13.58203125" style="1" bestFit="1" customWidth="1"/>
    <col min="23" max="23" width="14" style="1" bestFit="1" customWidth="1"/>
    <col min="24" max="16384" width="8.6640625" style="1"/>
  </cols>
  <sheetData>
    <row r="8" spans="2:23" ht="16" thickBot="1"/>
    <row r="9" spans="2:23" ht="25.5" customHeight="1" thickBot="1">
      <c r="B9" s="2" t="s">
        <v>0</v>
      </c>
      <c r="C9" s="3" t="s">
        <v>1</v>
      </c>
      <c r="D9" s="4" t="s">
        <v>2</v>
      </c>
      <c r="E9" s="5"/>
      <c r="F9" s="6" t="s">
        <v>3</v>
      </c>
      <c r="G9" s="6" t="s">
        <v>4</v>
      </c>
      <c r="H9" s="6" t="s">
        <v>5</v>
      </c>
      <c r="I9" s="6" t="s">
        <v>6</v>
      </c>
      <c r="J9" s="6" t="s">
        <v>7</v>
      </c>
      <c r="K9" s="7" t="s">
        <v>8</v>
      </c>
      <c r="L9" s="8" t="s">
        <v>9</v>
      </c>
      <c r="M9" s="9"/>
      <c r="N9" s="6" t="s">
        <v>10</v>
      </c>
      <c r="O9" s="10" t="s">
        <v>11</v>
      </c>
      <c r="P9" s="11" t="s">
        <v>12</v>
      </c>
      <c r="Q9" s="8" t="s">
        <v>13</v>
      </c>
      <c r="R9" s="10" t="str">
        <f>IF(P10=1,"鉑金使用壽命(HR)","鉑金可使用應力(Mpa)")</f>
        <v>鉑金使用壽命(HR)</v>
      </c>
      <c r="S9" s="10" t="s">
        <v>14</v>
      </c>
      <c r="T9" s="10" t="s">
        <v>15</v>
      </c>
    </row>
    <row r="10" spans="2:23" ht="16.5" hidden="1">
      <c r="B10" s="12" t="s">
        <v>16</v>
      </c>
      <c r="C10" s="13"/>
      <c r="D10" s="14" t="s">
        <v>17</v>
      </c>
      <c r="E10" s="15" t="s">
        <v>18</v>
      </c>
      <c r="F10" s="16">
        <f ca="1">OFFSET($U$117,MATCH(D10,$S$118:$S$126,0),,,1)</f>
        <v>-3.0048449999999999E-11</v>
      </c>
      <c r="G10" s="16">
        <f ca="1">OFFSET($V$117,MATCH(D10,$S$118:$S$126,0),,,1)</f>
        <v>2.2554120000000001E-7</v>
      </c>
      <c r="H10" s="16">
        <f ca="1">OFFSET($W$117,MATCH(D10,$S$118:$S$126,0),,,1)</f>
        <v>-6.7399029999999996E-4</v>
      </c>
      <c r="I10" s="16">
        <f ca="1">OFFSET($X$117,MATCH(D10,$S$118:$S$126,0),,,1)</f>
        <v>1.0023409999999999</v>
      </c>
      <c r="J10" s="16">
        <f ca="1">OFFSET($Y$117,MATCH(D10,$S$118:$S$126,0),,,1)</f>
        <v>-742.49400000000003</v>
      </c>
      <c r="K10" s="17">
        <f ca="1">OFFSET($Z$117,MATCH(D10,$S$118:$S$126,0),,,1)</f>
        <v>219352.3</v>
      </c>
      <c r="L10" s="18">
        <v>1400</v>
      </c>
      <c r="M10" s="19">
        <f>L10+273.15</f>
        <v>1673.15</v>
      </c>
      <c r="N10" s="20">
        <f ca="1">F10*M10^5+G10*M10^4+H10*M10^3+I10*M10^2+J10*M10+K10</f>
        <v>-324.5422404378769</v>
      </c>
      <c r="O10" s="21">
        <f ca="1">F11*M10^5+G11*M10^4+H11*M10^3+I11*M10^2+J11*M10+K11</f>
        <v>2792.4473054306582</v>
      </c>
      <c r="P10" s="22">
        <f>VLOOKUP($Q$9, $Q$118:$R$119, 2, FALSE)</f>
        <v>1</v>
      </c>
      <c r="Q10" s="23">
        <v>20</v>
      </c>
      <c r="R10" s="24">
        <f ca="1">IF(P10=2,10^(N10/M10*LOG(Q10)+O10/M10),10^((M10*LOG(Q10)-O10)/N10))</f>
        <v>78.870531288186911</v>
      </c>
      <c r="S10" s="25"/>
      <c r="T10" s="25"/>
      <c r="U10" s="1">
        <v>1673.15</v>
      </c>
      <c r="V10" s="1" t="s">
        <v>19</v>
      </c>
      <c r="W10" s="1">
        <v>-324.5422404378769</v>
      </c>
    </row>
    <row r="11" spans="2:23" ht="16.5" hidden="1">
      <c r="B11" s="26"/>
      <c r="C11" s="27"/>
      <c r="D11" s="28"/>
      <c r="E11" s="29" t="s">
        <v>20</v>
      </c>
      <c r="F11" s="30">
        <f ca="1">OFFSET($U$128,MATCH(D10,$S$129:$S$137,0),,,1)</f>
        <v>1.9006810000000001E-10</v>
      </c>
      <c r="G11" s="30">
        <f ca="1">OFFSET($V$128,MATCH(D10,$S$129:$S$137,0),,,1)</f>
        <v>-1.4361760000000001E-6</v>
      </c>
      <c r="H11" s="30">
        <f ca="1">OFFSET($W$128,MATCH(D10,$S$129:$S$137,0),,,1)</f>
        <v>4.3236619999999998E-3</v>
      </c>
      <c r="I11" s="30">
        <f ca="1">OFFSET($X$128,MATCH(D10,$S$129:$S$137,0),,,1)</f>
        <v>-6.4809520000000003</v>
      </c>
      <c r="J11" s="30">
        <f ca="1">OFFSET($Y$128,MATCH(D10,$S$129:$S$137,0),,,1)</f>
        <v>4836.1000000000004</v>
      </c>
      <c r="K11" s="31">
        <f ca="1">OFFSET($Z$128,MATCH(D10,$S$129:$S$137,0),,,1)</f>
        <v>-1434373</v>
      </c>
      <c r="L11" s="32"/>
      <c r="M11" s="33"/>
      <c r="N11" s="34"/>
      <c r="O11" s="35"/>
      <c r="P11" s="36"/>
      <c r="Q11" s="37"/>
      <c r="R11" s="38"/>
      <c r="S11" s="25"/>
      <c r="T11" s="25"/>
      <c r="V11" s="1" t="s">
        <v>21</v>
      </c>
      <c r="W11" s="1">
        <v>2792.4473054306582</v>
      </c>
    </row>
    <row r="12" spans="2:23" ht="16.5" hidden="1">
      <c r="B12" s="26"/>
      <c r="C12" s="27"/>
      <c r="D12" s="39" t="s">
        <v>22</v>
      </c>
      <c r="E12" s="29" t="s">
        <v>18</v>
      </c>
      <c r="F12" s="30">
        <f ca="1">OFFSET($U$117,MATCH(D12,$S$118:$S$126,0),,,1)</f>
        <v>2.7623930000000001E-11</v>
      </c>
      <c r="G12" s="30">
        <f ca="1">OFFSET($V$117,MATCH(D12,$S$118:$S$126,0),,,1)</f>
        <v>-2.1290910000000001E-7</v>
      </c>
      <c r="H12" s="30">
        <f ca="1">OFFSET($W$117,MATCH(D12,$S$118:$S$126,0),,,1)</f>
        <v>6.5475310000000003E-4</v>
      </c>
      <c r="I12" s="30">
        <f ca="1">OFFSET($X$117,MATCH(D12,$S$118:$S$126,0),,,1)</f>
        <v>-1.0043789999999999</v>
      </c>
      <c r="J12" s="30">
        <f ca="1">OFFSET($Y$117,MATCH(D12,$S$118:$S$126,0),,,1)</f>
        <v>767.77139999999997</v>
      </c>
      <c r="K12" s="31">
        <f ca="1">OFFSET($Z$117,MATCH(D12,$S$118:$S$126,0),,,1)</f>
        <v>-233817.3</v>
      </c>
      <c r="L12" s="32">
        <v>1400</v>
      </c>
      <c r="M12" s="33">
        <f t="shared" ref="M12" si="0">L12+273.15</f>
        <v>1673.15</v>
      </c>
      <c r="N12" s="34">
        <f ca="1">F12*M12^5+G12*M12^4+H12*M12^3+I12*M12^2+J12*M12+K12</f>
        <v>-452.61210027773632</v>
      </c>
      <c r="O12" s="35">
        <f ca="1">F13*M12^5+G13*M12^4+H13*M12^3+I13*M12^2+J13*M12+K13</f>
        <v>2489.738255372853</v>
      </c>
      <c r="P12" s="36">
        <f>VLOOKUP($Q$9, $Q$118:$R$119, 2, FALSE)</f>
        <v>1</v>
      </c>
      <c r="Q12" s="37">
        <v>20</v>
      </c>
      <c r="R12" s="38">
        <f ca="1">IF(P12=2,10^(N12/M12*LOG(Q12)+O12/M12),10^((M12*LOG(Q12)-O12)/N12))</f>
        <v>4.9132001360855684</v>
      </c>
      <c r="S12" s="25"/>
      <c r="T12" s="25"/>
      <c r="U12" s="1">
        <v>1000</v>
      </c>
      <c r="V12" s="1" t="s">
        <v>23</v>
      </c>
      <c r="W12" s="1">
        <v>12.219788037900631</v>
      </c>
    </row>
    <row r="13" spans="2:23" ht="16.5" hidden="1">
      <c r="B13" s="26"/>
      <c r="C13" s="27"/>
      <c r="D13" s="28"/>
      <c r="E13" s="29" t="s">
        <v>20</v>
      </c>
      <c r="F13" s="30">
        <f ca="1">OFFSET($U$128,MATCH(D12,$S$129:$S$137,0),,,1)</f>
        <v>6.6265630000000005E-11</v>
      </c>
      <c r="G13" s="30">
        <f ca="1">OFFSET($V$128,MATCH(D12,$S$129:$S$137,0),,,1)</f>
        <v>-5.0006020000000003E-7</v>
      </c>
      <c r="H13" s="30">
        <f ca="1">OFFSET($W$128,MATCH(D12,$S$129:$S$137,0),,,1)</f>
        <v>1.505653E-3</v>
      </c>
      <c r="I13" s="30">
        <f ca="1">OFFSET($X$128,MATCH(D12,$S$129:$S$137,0),,,1)</f>
        <v>-2.2621389999999999</v>
      </c>
      <c r="J13" s="30">
        <f ca="1">OFFSET($Y$128,MATCH(D12,$S$129:$S$137,0),,,1)</f>
        <v>1697.076</v>
      </c>
      <c r="K13" s="31">
        <f ca="1">OFFSET($Z$128,MATCH(D12,$S$129:$S$137,0),,,1)</f>
        <v>-506558.1</v>
      </c>
      <c r="L13" s="32"/>
      <c r="M13" s="33"/>
      <c r="N13" s="34"/>
      <c r="O13" s="35"/>
      <c r="P13" s="36"/>
      <c r="Q13" s="37"/>
      <c r="R13" s="38"/>
      <c r="S13" s="25"/>
      <c r="T13" s="25"/>
    </row>
    <row r="14" spans="2:23" ht="16.5" hidden="1">
      <c r="B14" s="26"/>
      <c r="C14" s="27"/>
      <c r="D14" s="39" t="s">
        <v>24</v>
      </c>
      <c r="E14" s="29" t="s">
        <v>18</v>
      </c>
      <c r="F14" s="30">
        <f ca="1">OFFSET($U$117,MATCH(D14,$S$118:$S$126,0),,,1)</f>
        <v>4.5076340000000001E-11</v>
      </c>
      <c r="G14" s="30">
        <f ca="1">OFFSET($V$117,MATCH(D14,$S$118:$S$126,0),,,1)</f>
        <v>-3.420564E-7</v>
      </c>
      <c r="H14" s="30">
        <f ca="1">OFFSET($W$117,MATCH(D14,$S$118:$S$126,0),,,1)</f>
        <v>1.0354889999999999E-3</v>
      </c>
      <c r="I14" s="30">
        <f ca="1">OFFSET($X$117,MATCH(D14,$S$118:$S$126,0),,,1)</f>
        <v>-1.563124</v>
      </c>
      <c r="J14" s="30">
        <f ca="1">OFFSET($Y$117,MATCH(D14,$S$118:$S$126,0),,,1)</f>
        <v>1176.145</v>
      </c>
      <c r="K14" s="31">
        <f ca="1">OFFSET($Z$117,MATCH(D14,$S$118:$S$126,0),,,1)</f>
        <v>-352987.5</v>
      </c>
      <c r="L14" s="32">
        <v>1400</v>
      </c>
      <c r="M14" s="33">
        <f t="shared" ref="M14" si="1">L14+273.15</f>
        <v>1673.15</v>
      </c>
      <c r="N14" s="34">
        <f ca="1">F14*M14^5+G14*M14^4+H14*M14^3+I14*M14^2+J14*M14+K14</f>
        <v>-468.34561171429232</v>
      </c>
      <c r="O14" s="35">
        <f ca="1">F15*M14^5+G15*M14^4+H15*M14^3+I15*M14^2+J15*M14+K15</f>
        <v>1935.0808781722153</v>
      </c>
      <c r="P14" s="36">
        <f>VLOOKUP($Q$9, $Q$118:$R$119, 2, FALSE)</f>
        <v>1</v>
      </c>
      <c r="Q14" s="37">
        <v>20</v>
      </c>
      <c r="R14" s="38">
        <f ca="1">IF(P14=2,10^(N14/M14*LOG(Q14)+O14/M14),10^((M14*LOG(Q14)-O14)/N14))</f>
        <v>0.30468294098059101</v>
      </c>
      <c r="S14" s="25"/>
      <c r="T14" s="25"/>
      <c r="U14" s="1">
        <v>1673.15</v>
      </c>
      <c r="V14" s="1" t="s">
        <v>19</v>
      </c>
      <c r="W14" s="1">
        <v>-452.61210027773632</v>
      </c>
    </row>
    <row r="15" spans="2:23" ht="16.5" hidden="1">
      <c r="B15" s="26"/>
      <c r="C15" s="27"/>
      <c r="D15" s="28"/>
      <c r="E15" s="29" t="s">
        <v>20</v>
      </c>
      <c r="F15" s="30">
        <f ca="1">OFFSET($U$128,MATCH(D14,$S$129:$S$137,0),,,1)</f>
        <v>-2.854233E-11</v>
      </c>
      <c r="G15" s="30">
        <f ca="1">OFFSET($V$128,MATCH(D14,$S$129:$S$137,0),,,1)</f>
        <v>2.2329729999999999E-7</v>
      </c>
      <c r="H15" s="30">
        <f ca="1">OFFSET($W$128,MATCH(D14,$S$129:$S$137,0),,,1)</f>
        <v>-6.9651670000000002E-4</v>
      </c>
      <c r="I15" s="30">
        <f ca="1">OFFSET($X$128,MATCH(D14,$S$129:$S$137,0),,,1)</f>
        <v>1.081183</v>
      </c>
      <c r="J15" s="30">
        <f ca="1">OFFSET($Y$128,MATCH(D14,$S$129:$S$137,0),,,1)</f>
        <v>-834.78650000000005</v>
      </c>
      <c r="K15" s="31">
        <f ca="1">OFFSET($Z$128,MATCH(D14,$S$129:$S$137,0),,,1)</f>
        <v>258665.60000000001</v>
      </c>
      <c r="L15" s="32"/>
      <c r="M15" s="33"/>
      <c r="N15" s="34"/>
      <c r="O15" s="35"/>
      <c r="P15" s="36"/>
      <c r="Q15" s="37"/>
      <c r="R15" s="38"/>
      <c r="S15" s="25"/>
      <c r="T15" s="25"/>
      <c r="V15" s="1" t="s">
        <v>21</v>
      </c>
      <c r="W15" s="1">
        <v>2489.738255372853</v>
      </c>
    </row>
    <row r="16" spans="2:23" ht="16.5" hidden="1">
      <c r="B16" s="26"/>
      <c r="C16" s="27"/>
      <c r="D16" s="39" t="s">
        <v>25</v>
      </c>
      <c r="E16" s="29" t="s">
        <v>18</v>
      </c>
      <c r="F16" s="30">
        <f ca="1">OFFSET($U$117,MATCH(D16,$S$118:$S$126,0),,,1)</f>
        <v>1.2105989999999999E-11</v>
      </c>
      <c r="G16" s="30">
        <f ca="1">OFFSET($V$117,MATCH(D16,$S$118:$S$126,0),,,1)</f>
        <v>-8.9001169999999999E-8</v>
      </c>
      <c r="H16" s="30">
        <f ca="1">OFFSET($W$117,MATCH(D16,$S$118:$S$126,0),,,1)</f>
        <v>2.60411E-4</v>
      </c>
      <c r="I16" s="30">
        <f ca="1">OFFSET($X$117,MATCH(D16,$S$118:$S$126,0),,,1)</f>
        <v>-0.37921110000000002</v>
      </c>
      <c r="J16" s="30">
        <f ca="1">OFFSET($Y$117,MATCH(D16,$S$118:$S$126,0),,,1)</f>
        <v>274.51499999999999</v>
      </c>
      <c r="K16" s="31">
        <f ca="1">OFFSET($Z$117,MATCH(D16,$S$118:$S$126,0),,,1)</f>
        <v>-79158.710000000006</v>
      </c>
      <c r="L16" s="32">
        <v>1400</v>
      </c>
      <c r="M16" s="33">
        <f t="shared" ref="M16" si="2">L16+273.15</f>
        <v>1673.15</v>
      </c>
      <c r="N16" s="34">
        <f ca="1">F16*M16^5+G16*M16^4+H16*M16^3+I16*M16^2+J16*M16+K16</f>
        <v>-448.34455220749078</v>
      </c>
      <c r="O16" s="35">
        <f ca="1">F17*M16^5+G17*M16^4+H17*M16^3+I17*M16^2+J17*M16+K17</f>
        <v>2310.6789460823056</v>
      </c>
      <c r="P16" s="36">
        <f>VLOOKUP($Q$9, $Q$118:$R$119, 2, FALSE)</f>
        <v>1</v>
      </c>
      <c r="Q16" s="37">
        <v>20</v>
      </c>
      <c r="R16" s="38">
        <f ca="1">IF(P16=2,10^(N16/M16*LOG(Q16)+O16/M16),10^((M16*LOG(Q16)-O16)/N16))</f>
        <v>1.9886867378662128</v>
      </c>
      <c r="S16" s="25"/>
      <c r="T16" s="25"/>
      <c r="U16" s="1">
        <v>1000</v>
      </c>
      <c r="V16" s="1" t="s">
        <v>23</v>
      </c>
      <c r="W16" s="1">
        <v>4.74798732128016</v>
      </c>
    </row>
    <row r="17" spans="2:23" ht="16.5" hidden="1">
      <c r="B17" s="26"/>
      <c r="C17" s="27"/>
      <c r="D17" s="28"/>
      <c r="E17" s="29" t="s">
        <v>20</v>
      </c>
      <c r="F17" s="30">
        <f ca="1">OFFSET($U$128,MATCH(D16,$S$129:$S$137,0),,,1)</f>
        <v>3.5855650000000002E-11</v>
      </c>
      <c r="G17" s="30">
        <f ca="1">OFFSET($V$128,MATCH(D16,$S$129:$S$137,0),,,1)</f>
        <v>-2.7456539999999999E-7</v>
      </c>
      <c r="H17" s="30">
        <f ca="1">OFFSET($W$128,MATCH(D16,$S$129:$S$137,0),,,1)</f>
        <v>8.3813140000000002E-4</v>
      </c>
      <c r="I17" s="30">
        <f ca="1">OFFSET($X$128,MATCH(D16,$S$129:$S$137,0),,,1)</f>
        <v>-1.276251</v>
      </c>
      <c r="J17" s="30">
        <f ca="1">OFFSET($Y$128,MATCH(D16,$S$129:$S$137,0),,,1)</f>
        <v>969.91150000000005</v>
      </c>
      <c r="K17" s="31">
        <f ca="1">OFFSET($Z$128,MATCH(D16,$S$129:$S$137,0),,,1)</f>
        <v>-291844.3</v>
      </c>
      <c r="L17" s="32"/>
      <c r="M17" s="33"/>
      <c r="N17" s="34"/>
      <c r="O17" s="35"/>
      <c r="P17" s="36"/>
      <c r="Q17" s="37"/>
      <c r="R17" s="38"/>
      <c r="S17" s="25"/>
      <c r="T17" s="25"/>
    </row>
    <row r="18" spans="2:23" ht="16.5">
      <c r="B18" s="26"/>
      <c r="C18" s="27"/>
      <c r="D18" s="39" t="s">
        <v>26</v>
      </c>
      <c r="E18" s="29" t="s">
        <v>18</v>
      </c>
      <c r="F18" s="30">
        <f ca="1">OFFSET($U$117,MATCH(D18,$S$118:$S$126,0),,,1)</f>
        <v>-3.1118160000000002E-11</v>
      </c>
      <c r="G18" s="30">
        <f ca="1">OFFSET($V$117,MATCH(D18,$S$118:$S$126,0),,,1)</f>
        <v>2.2887480000000001E-7</v>
      </c>
      <c r="H18" s="30">
        <f ca="1">OFFSET($W$117,MATCH(D18,$S$118:$S$126,0),,,1)</f>
        <v>-6.7041430000000003E-4</v>
      </c>
      <c r="I18" s="30">
        <f ca="1">OFFSET($X$117,MATCH(D18,$S$118:$S$126,0),,,1)</f>
        <v>0.97729029999999995</v>
      </c>
      <c r="J18" s="30">
        <f ca="1">OFFSET($Y$117,MATCH(D18,$S$118:$S$126,0),,,1)</f>
        <v>-709.4058</v>
      </c>
      <c r="K18" s="31">
        <f ca="1">OFFSET($Z$117,MATCH(D18,$S$118:$S$126,0),,,1)</f>
        <v>205194.8</v>
      </c>
      <c r="L18" s="32">
        <v>1200</v>
      </c>
      <c r="M18" s="33">
        <f t="shared" ref="M18" si="3">L18+273.15</f>
        <v>1473.15</v>
      </c>
      <c r="N18" s="34">
        <f ca="1">F18*M18^5+G18*M18^4+H18*M18^3+I18*M18^2+J18*M18+K18</f>
        <v>-265.09891472297022</v>
      </c>
      <c r="O18" s="35">
        <f ca="1">F19*M18^5+G19*M18^4+H19*M18^3+I19*M18^2+J19*M18+K19</f>
        <v>2745.3121261894703</v>
      </c>
      <c r="P18" s="36">
        <f>VLOOKUP($Q$9, $Q$118:$R$119, 2, FALSE)</f>
        <v>1</v>
      </c>
      <c r="Q18" s="40">
        <v>16.3</v>
      </c>
      <c r="R18" s="41">
        <f ca="1">IF(P18=2,10^(N18/M18*LOG(Q18)+O18/M18),10^((M18*LOG(Q18)-O18)/N18))</f>
        <v>4165.7940352551032</v>
      </c>
      <c r="S18" s="42">
        <v>1000</v>
      </c>
      <c r="T18" s="43">
        <f ca="1">ABS(S18-R18)/S18</f>
        <v>3.1657940352551033</v>
      </c>
      <c r="U18" s="1">
        <v>1673.15</v>
      </c>
      <c r="V18" s="1" t="s">
        <v>19</v>
      </c>
      <c r="W18" s="1">
        <v>-468.34561171429232</v>
      </c>
    </row>
    <row r="19" spans="2:23" ht="16.5">
      <c r="B19" s="26"/>
      <c r="C19" s="27"/>
      <c r="D19" s="28"/>
      <c r="E19" s="29" t="s">
        <v>20</v>
      </c>
      <c r="F19" s="30">
        <f ca="1">OFFSET($U$128,MATCH(D18,$S$129:$S$137,0),,,1)</f>
        <v>4.4196900000000002E-10</v>
      </c>
      <c r="G19" s="30">
        <f ca="1">OFFSET($V$128,MATCH(D18,$S$129:$S$137,0),,,1)</f>
        <v>-3.3652649999999999E-6</v>
      </c>
      <c r="H19" s="30">
        <f ca="1">OFFSET($W$128,MATCH(D18,$S$129:$S$137,0),,,1)</f>
        <v>1.020825E-2</v>
      </c>
      <c r="I19" s="30">
        <f ca="1">OFFSET($X$128,MATCH(D18,$S$129:$S$137,0),,,1)</f>
        <v>-15.42235</v>
      </c>
      <c r="J19" s="30">
        <f ca="1">OFFSET($Y$128,MATCH(D18,$S$129:$S$137,0),,,1)</f>
        <v>11606.88</v>
      </c>
      <c r="K19" s="31">
        <f ca="1">OFFSET($Z$128,MATCH(D18,$S$129:$S$137,0),,,1)</f>
        <v>-3479632</v>
      </c>
      <c r="L19" s="32"/>
      <c r="M19" s="33"/>
      <c r="N19" s="34"/>
      <c r="O19" s="35"/>
      <c r="P19" s="36"/>
      <c r="Q19" s="40"/>
      <c r="R19" s="41"/>
      <c r="S19" s="44"/>
      <c r="T19" s="45"/>
      <c r="V19" s="1" t="s">
        <v>21</v>
      </c>
      <c r="W19" s="1">
        <v>1935.0808781722153</v>
      </c>
    </row>
    <row r="20" spans="2:23" ht="16.5">
      <c r="B20" s="26"/>
      <c r="C20" s="27"/>
      <c r="D20" s="39" t="s">
        <v>27</v>
      </c>
      <c r="E20" s="29" t="s">
        <v>18</v>
      </c>
      <c r="F20" s="30">
        <f ca="1">OFFSET($U$117,MATCH(D20,$S$118:$S$126,0),,,1)</f>
        <v>1.6977629999999999E-10</v>
      </c>
      <c r="G20" s="30">
        <f ca="1">OFFSET($V$117,MATCH(D20,$S$118:$S$126,0),,,1)</f>
        <v>-1.3189819999999999E-6</v>
      </c>
      <c r="H20" s="30">
        <f ca="1">OFFSET($W$117,MATCH(D20,$S$118:$S$126,0),,,1)</f>
        <v>4.0795509999999998E-3</v>
      </c>
      <c r="I20" s="30">
        <f ca="1">OFFSET($X$117,MATCH(D20,$S$118:$S$126,0),,,1)</f>
        <v>-6.2795209999999999</v>
      </c>
      <c r="J20" s="30">
        <f ca="1">OFFSET($Y$117,MATCH(D20,$S$118:$S$126,0),,,1)</f>
        <v>4810.1419999999998</v>
      </c>
      <c r="K20" s="31">
        <f ca="1">OFFSET($Z$117,MATCH(D20,$S$118:$S$126,0),,,1)</f>
        <v>-1466926</v>
      </c>
      <c r="L20" s="32">
        <v>1400</v>
      </c>
      <c r="M20" s="33">
        <f t="shared" ref="M20" si="4">L20+273.15</f>
        <v>1673.15</v>
      </c>
      <c r="N20" s="34">
        <f ca="1">F20*M20^5+G20*M20^4+H20*M20^3+I20*M20^2+J20*M20+K20</f>
        <v>-325.57376271020621</v>
      </c>
      <c r="O20" s="35">
        <f ca="1">F21*M20^5+G21*M20^4+H21*M20^3+I21*M20^2+J21*M20+K21</f>
        <v>2330.1764386445284</v>
      </c>
      <c r="P20" s="36">
        <f>VLOOKUP($Q$9, $Q$118:$R$119, 2, FALSE)</f>
        <v>1</v>
      </c>
      <c r="Q20" s="40">
        <v>6.5</v>
      </c>
      <c r="R20" s="41">
        <f ca="1">IF(P20=2,10^(N20/M20*LOG(Q20)+O20/M20),10^((M20*LOG(Q20)-O20)/N20))</f>
        <v>953.91688284708744</v>
      </c>
      <c r="S20" s="46">
        <v>1000</v>
      </c>
      <c r="T20" s="43">
        <f t="shared" ref="T20" ca="1" si="5">ABS(S20-R20)/S20</f>
        <v>4.6083117152912564E-2</v>
      </c>
      <c r="U20" s="1">
        <v>1000</v>
      </c>
      <c r="V20" s="1" t="s">
        <v>23</v>
      </c>
      <c r="W20" s="1">
        <v>2.0739300140288499</v>
      </c>
    </row>
    <row r="21" spans="2:23" ht="16.5">
      <c r="B21" s="26"/>
      <c r="C21" s="27"/>
      <c r="D21" s="28"/>
      <c r="E21" s="29" t="s">
        <v>20</v>
      </c>
      <c r="F21" s="30">
        <f ca="1">OFFSET($U$128,MATCH(D20,$S$129:$S$137,0),,,1)</f>
        <v>4.061288E-10</v>
      </c>
      <c r="G21" s="30">
        <f ca="1">OFFSET($V$128,MATCH(D20,$S$129:$S$137,0),,,1)</f>
        <v>-3.0329070000000002E-6</v>
      </c>
      <c r="H21" s="30">
        <f ca="1">OFFSET($W$128,MATCH(D20,$S$129:$S$137,0),,,1)</f>
        <v>9.0293270000000002E-3</v>
      </c>
      <c r="I21" s="30">
        <f ca="1">OFFSET($X$128,MATCH(D20,$S$129:$S$137,0),,,1)</f>
        <v>-13.398</v>
      </c>
      <c r="J21" s="30">
        <f ca="1">OFFSET($Y$128,MATCH(D20,$S$129:$S$137,0),,,1)</f>
        <v>9911.02</v>
      </c>
      <c r="K21" s="31">
        <f ca="1">OFFSET($Z$128,MATCH(D20,$S$129:$S$137,0),,,1)</f>
        <v>-2922593</v>
      </c>
      <c r="L21" s="32"/>
      <c r="M21" s="33"/>
      <c r="N21" s="34"/>
      <c r="O21" s="35"/>
      <c r="P21" s="36"/>
      <c r="Q21" s="40"/>
      <c r="R21" s="41"/>
      <c r="S21" s="46"/>
      <c r="T21" s="45"/>
    </row>
    <row r="22" spans="2:23" ht="16.5">
      <c r="B22" s="26"/>
      <c r="C22" s="27"/>
      <c r="D22" s="39" t="s">
        <v>28</v>
      </c>
      <c r="E22" s="29" t="s">
        <v>18</v>
      </c>
      <c r="F22" s="30">
        <f ca="1">OFFSET($U$117,MATCH(D22,$S$118:$S$126,0),,,1)</f>
        <v>0</v>
      </c>
      <c r="G22" s="30">
        <f ca="1">OFFSET($V$117,MATCH(D22,$S$118:$S$126,0),,,1)</f>
        <v>0</v>
      </c>
      <c r="H22" s="30">
        <f ca="1">OFFSET($W$117,MATCH(D22,$S$118:$S$126,0),,,1)</f>
        <v>4.5824280000000003E-6</v>
      </c>
      <c r="I22" s="30">
        <f ca="1">OFFSET($X$117,MATCH(D22,$S$118:$S$126,0),,,1)</f>
        <v>-2.175908E-2</v>
      </c>
      <c r="J22" s="30">
        <f ca="1">OFFSET($Y$117,MATCH(D22,$S$118:$S$126,0),,,1)</f>
        <v>34.052329999999998</v>
      </c>
      <c r="K22" s="31">
        <f ca="1">OFFSET($Z$117,MATCH(D22,$S$118:$S$126,0),,,1)</f>
        <v>-18011.13</v>
      </c>
      <c r="L22" s="32">
        <v>1400</v>
      </c>
      <c r="M22" s="33">
        <f t="shared" ref="M22" si="6">L22+273.15</f>
        <v>1673.15</v>
      </c>
      <c r="N22" s="34">
        <f ca="1">F22*M22^5+G22*M22^4+H22*M22^3+I22*M22^2+J22*M22+K22</f>
        <v>-486.02828276399305</v>
      </c>
      <c r="O22" s="35">
        <f ca="1">F23*M22^5+G23*M22^4+H23*M22^3+I23*M22^2+J23*M22+K23</f>
        <v>2103.8325647827587</v>
      </c>
      <c r="P22" s="36">
        <f>VLOOKUP($Q$9, $Q$118:$R$119, 2, FALSE)</f>
        <v>1</v>
      </c>
      <c r="Q22" s="40">
        <v>2.4</v>
      </c>
      <c r="R22" s="41">
        <f ca="1">IF(P22=2,10^(N22/M22*LOG(Q22)+O22/M22),10^((M22*LOG(Q22)-O22)/N22))</f>
        <v>1046.5171149406228</v>
      </c>
      <c r="S22" s="46">
        <v>1000</v>
      </c>
      <c r="T22" s="43">
        <f t="shared" ref="T22" ca="1" si="7">ABS(S22-R22)/S22</f>
        <v>4.6517114940622835E-2</v>
      </c>
      <c r="U22" s="1">
        <v>1673.15</v>
      </c>
      <c r="V22" s="1" t="s">
        <v>19</v>
      </c>
      <c r="W22" s="1">
        <v>-448.34455220749078</v>
      </c>
    </row>
    <row r="23" spans="2:23" ht="16.5">
      <c r="B23" s="26"/>
      <c r="C23" s="27"/>
      <c r="D23" s="28"/>
      <c r="E23" s="29" t="s">
        <v>20</v>
      </c>
      <c r="F23" s="30">
        <f ca="1">OFFSET($U$128,MATCH(D22,$S$129:$S$137,0),,,1)</f>
        <v>0</v>
      </c>
      <c r="G23" s="30">
        <f ca="1">OFFSET($V$128,MATCH(D22,$S$129:$S$137,0),,,1)</f>
        <v>0</v>
      </c>
      <c r="H23" s="30">
        <f ca="1">OFFSET($W$128,MATCH(D22,$S$129:$S$137,0),,,1)</f>
        <v>-1.9195380000000001E-5</v>
      </c>
      <c r="I23" s="30">
        <f ca="1">OFFSET($X$128,MATCH(D22,$S$129:$S$137,0),,,1)</f>
        <v>8.9280929999999994E-2</v>
      </c>
      <c r="J23" s="30">
        <f ca="1">OFFSET($Y$128,MATCH(D22,$S$129:$S$137,0),,,1)</f>
        <v>-138.89570000000001</v>
      </c>
      <c r="K23" s="31">
        <f ca="1">OFFSET($Z$128,MATCH(D22,$S$129:$S$137,0),,,1)</f>
        <v>74470</v>
      </c>
      <c r="L23" s="32"/>
      <c r="M23" s="33"/>
      <c r="N23" s="34"/>
      <c r="O23" s="35"/>
      <c r="P23" s="36"/>
      <c r="Q23" s="40"/>
      <c r="R23" s="41"/>
      <c r="S23" s="46"/>
      <c r="T23" s="45"/>
      <c r="V23" s="1" t="s">
        <v>21</v>
      </c>
      <c r="W23" s="1">
        <v>2310.6789460823056</v>
      </c>
    </row>
    <row r="24" spans="2:23" ht="16.5">
      <c r="B24" s="26"/>
      <c r="C24" s="27"/>
      <c r="D24" s="39" t="s">
        <v>29</v>
      </c>
      <c r="E24" s="29" t="s">
        <v>18</v>
      </c>
      <c r="F24" s="30">
        <f ca="1">OFFSET($U$117,MATCH(D24,$S$118:$S$126,0),,,1)</f>
        <v>0</v>
      </c>
      <c r="G24" s="30">
        <f ca="1">OFFSET($V$117,MATCH(D24,$S$118:$S$126,0),,,1)</f>
        <v>0</v>
      </c>
      <c r="H24" s="30">
        <f ca="1">OFFSET($W$117,MATCH(D24,$S$118:$S$126,0),,,1)</f>
        <v>-6.2276929999999997E-6</v>
      </c>
      <c r="I24" s="30">
        <f ca="1">OFFSET($X$117,MATCH(D24,$S$118:$S$126,0),,,1)</f>
        <v>2.7095310000000001E-2</v>
      </c>
      <c r="J24" s="30">
        <f ca="1">OFFSET($Y$117,MATCH(D24,$S$118:$S$126,0),,,1)</f>
        <v>-39.55556</v>
      </c>
      <c r="K24" s="31">
        <f ca="1">OFFSET($Z$117,MATCH(D24,$S$118:$S$126,0),,,1)</f>
        <v>18921.05</v>
      </c>
      <c r="L24" s="32">
        <v>1400</v>
      </c>
      <c r="M24" s="33">
        <f t="shared" ref="M24" si="8">L24+273.15</f>
        <v>1673.15</v>
      </c>
      <c r="N24" s="34">
        <f ca="1">F24*M24^5+G24*M24^4+H24*M24^3+I24*M24^2+J24*M24+K24</f>
        <v>-579.57755507208276</v>
      </c>
      <c r="O24" s="35">
        <f ca="1">F25*M24^5+G25*M24^4+H25*M24^3+I25*M24^2+J25*M24+K25</f>
        <v>2447.7114718514058</v>
      </c>
      <c r="P24" s="36">
        <f>VLOOKUP($Q$9, $Q$118:$R$119, 2, FALSE)</f>
        <v>1</v>
      </c>
      <c r="Q24" s="40">
        <v>2.65</v>
      </c>
      <c r="R24" s="41">
        <f ca="1">IF(P24=2,10^(N24/M24*LOG(Q24)+O24/M24),10^((M24*LOG(Q24)-O24)/N24))</f>
        <v>1003.2828843317748</v>
      </c>
      <c r="S24" s="46">
        <v>1000</v>
      </c>
      <c r="T24" s="43">
        <f t="shared" ref="T24" ca="1" si="9">ABS(S24-R24)/S24</f>
        <v>3.2828843317747668E-3</v>
      </c>
      <c r="U24" s="1">
        <v>1000</v>
      </c>
      <c r="V24" s="1" t="s">
        <v>23</v>
      </c>
      <c r="W24" s="1">
        <v>3.7769574387846401</v>
      </c>
    </row>
    <row r="25" spans="2:23" ht="16.5">
      <c r="B25" s="26"/>
      <c r="C25" s="27"/>
      <c r="D25" s="28"/>
      <c r="E25" s="29" t="s">
        <v>20</v>
      </c>
      <c r="F25" s="30">
        <f ca="1">OFFSET($U$128,MATCH(D24,$S$129:$S$137,0),,,1)</f>
        <v>0</v>
      </c>
      <c r="G25" s="30">
        <f ca="1">OFFSET($V$128,MATCH(D24,$S$129:$S$137,0),,,1)</f>
        <v>0</v>
      </c>
      <c r="H25" s="30">
        <f ca="1">OFFSET($W$128,MATCH(D24,$S$129:$S$137,0),,,1)</f>
        <v>-9.6880090000000007E-6</v>
      </c>
      <c r="I25" s="30">
        <f ca="1">OFFSET($X$128,MATCH(D24,$S$129:$S$137,0),,,1)</f>
        <v>4.583599E-2</v>
      </c>
      <c r="J25" s="30">
        <f ca="1">OFFSET($Y$128,MATCH(D24,$S$129:$S$137,0),,,1)</f>
        <v>-72.67801</v>
      </c>
      <c r="K25" s="31">
        <f ca="1">OFFSET($Z$128,MATCH(D24,$S$129:$S$137,0),,,1)</f>
        <v>41111.589999999997</v>
      </c>
      <c r="L25" s="32"/>
      <c r="M25" s="33"/>
      <c r="N25" s="34"/>
      <c r="O25" s="35"/>
      <c r="P25" s="36"/>
      <c r="Q25" s="40"/>
      <c r="R25" s="41"/>
      <c r="S25" s="46"/>
      <c r="T25" s="45"/>
    </row>
    <row r="26" spans="2:23" ht="16.5">
      <c r="B26" s="47"/>
      <c r="C26" s="27"/>
      <c r="D26" s="39" t="s">
        <v>30</v>
      </c>
      <c r="E26" s="29" t="s">
        <v>18</v>
      </c>
      <c r="F26" s="30">
        <f ca="1">OFFSET($U$117,MATCH(D26,$S$118:$S$126,0),,,1)</f>
        <v>0</v>
      </c>
      <c r="G26" s="30">
        <f ca="1">OFFSET($V$117,MATCH(D26,$S$118:$S$126,0),,,1)</f>
        <v>0</v>
      </c>
      <c r="H26" s="30">
        <f ca="1">OFFSET($W$117,MATCH(D26,$S$118:$S$126,0),,,1)</f>
        <v>-2.3702989999999999E-5</v>
      </c>
      <c r="I26" s="30">
        <f ca="1">OFFSET($X$117,MATCH(D26,$S$118:$S$126,0),,,1)</f>
        <v>0.1117253</v>
      </c>
      <c r="J26" s="30">
        <f ca="1">OFFSET($Y$117,MATCH(D26,$S$118:$S$126,0),,,1)</f>
        <v>-174.9494</v>
      </c>
      <c r="K26" s="31">
        <f ca="1">OFFSET($Z$117,MATCH(D26,$S$118:$S$126,0),,,1)</f>
        <v>90634.68</v>
      </c>
      <c r="L26" s="32">
        <v>1400</v>
      </c>
      <c r="M26" s="33">
        <f t="shared" ref="M26" si="10">L26+273.15</f>
        <v>1673.15</v>
      </c>
      <c r="N26" s="34">
        <f ca="1">F26*M26^5+G26*M26^4+H26*M26^3+I26*M26^2+J26*M26+K26</f>
        <v>-336.32172642298974</v>
      </c>
      <c r="O26" s="35">
        <f ca="1">F27*M26^5+G27*M26^4+H27*M26^3+I27*M26^2+J27*M26+K27</f>
        <v>1046.24483991953</v>
      </c>
      <c r="P26" s="36">
        <f>VLOOKUP($Q$9, $Q$118:$R$119, 2, FALSE)</f>
        <v>1</v>
      </c>
      <c r="Q26" s="40">
        <v>1.05</v>
      </c>
      <c r="R26" s="41">
        <f ca="1">IF(P26=2,10^(N26/M26*LOG(Q26)+O26/M26),10^((M26*LOG(Q26)-O26)/N26))</f>
        <v>1012.5853947167534</v>
      </c>
      <c r="S26" s="46">
        <v>1000</v>
      </c>
      <c r="T26" s="43">
        <f t="shared" ref="T26" ca="1" si="11">ABS(S26-R26)/S26</f>
        <v>1.2585394716753399E-2</v>
      </c>
    </row>
    <row r="27" spans="2:23" ht="17" thickBot="1">
      <c r="B27" s="48"/>
      <c r="C27" s="49"/>
      <c r="D27" s="50"/>
      <c r="E27" s="51" t="s">
        <v>20</v>
      </c>
      <c r="F27" s="52">
        <f ca="1">OFFSET($U$128,MATCH(D26,$S$129:$S$137,0),,,1)</f>
        <v>0</v>
      </c>
      <c r="G27" s="52">
        <f ca="1">OFFSET($V$128,MATCH(D26,$S$129:$S$137,0),,,1)</f>
        <v>0</v>
      </c>
      <c r="H27" s="52">
        <f ca="1">OFFSET($W$128,MATCH(D26,$S$129:$S$137,0),,,1)</f>
        <v>-3.6932920000000001E-6</v>
      </c>
      <c r="I27" s="52">
        <f ca="1">OFFSET($X$128,MATCH(D26,$S$129:$S$137,0),,,1)</f>
        <v>6.3105740000000002E-3</v>
      </c>
      <c r="J27" s="52">
        <f ca="1">OFFSET($Y$128,MATCH(D26,$S$129:$S$137,0),,,1)</f>
        <v>4.5647039999999999</v>
      </c>
      <c r="K27" s="53">
        <f ca="1">OFFSET($Z$128,MATCH(D26,$S$129:$S$137,0),,,1)</f>
        <v>-6958.3140000000003</v>
      </c>
      <c r="L27" s="54"/>
      <c r="M27" s="55"/>
      <c r="N27" s="56"/>
      <c r="O27" s="57"/>
      <c r="P27" s="58"/>
      <c r="Q27" s="59"/>
      <c r="R27" s="60"/>
      <c r="S27" s="61"/>
      <c r="T27" s="62"/>
    </row>
    <row r="32" spans="2:23">
      <c r="F32" s="63" t="s">
        <v>31</v>
      </c>
      <c r="G32" s="63"/>
      <c r="H32" s="63"/>
      <c r="I32" s="63"/>
      <c r="J32" s="63"/>
      <c r="K32" s="63"/>
      <c r="Q32" s="1">
        <v>10.9</v>
      </c>
    </row>
    <row r="33" spans="6:17">
      <c r="F33" s="1" t="s">
        <v>32</v>
      </c>
    </row>
    <row r="34" spans="6:17">
      <c r="F34" s="1" t="s">
        <v>33</v>
      </c>
      <c r="G34" s="1">
        <v>1</v>
      </c>
      <c r="H34" s="1">
        <v>10</v>
      </c>
      <c r="I34" s="1">
        <v>100</v>
      </c>
      <c r="J34" s="1">
        <v>1000</v>
      </c>
      <c r="K34" s="1">
        <v>10000</v>
      </c>
      <c r="Q34" s="1">
        <v>6.5</v>
      </c>
    </row>
    <row r="35" spans="6:17">
      <c r="F35" s="1" t="s">
        <v>34</v>
      </c>
      <c r="G35" s="1">
        <v>24</v>
      </c>
      <c r="H35" s="1">
        <v>13</v>
      </c>
      <c r="I35" s="1">
        <v>7.1</v>
      </c>
      <c r="J35" s="1">
        <v>4</v>
      </c>
      <c r="K35" s="1">
        <v>2.2999999999999998</v>
      </c>
    </row>
    <row r="36" spans="6:17">
      <c r="F36" s="1" t="s">
        <v>35</v>
      </c>
      <c r="Q36" s="1">
        <v>2.4</v>
      </c>
    </row>
    <row r="37" spans="6:17">
      <c r="F37" s="1" t="s">
        <v>33</v>
      </c>
      <c r="G37" s="1">
        <v>1</v>
      </c>
      <c r="H37" s="1">
        <v>10</v>
      </c>
      <c r="I37" s="1">
        <v>100</v>
      </c>
      <c r="J37" s="1">
        <v>1000</v>
      </c>
      <c r="K37" s="1">
        <v>10000</v>
      </c>
    </row>
    <row r="38" spans="6:17">
      <c r="F38" s="1" t="s">
        <v>34</v>
      </c>
      <c r="G38" s="1">
        <v>25.5</v>
      </c>
      <c r="H38" s="1">
        <v>16</v>
      </c>
      <c r="I38" s="1">
        <v>10</v>
      </c>
      <c r="J38" s="1">
        <v>6.5</v>
      </c>
      <c r="K38" s="1">
        <v>4.3</v>
      </c>
      <c r="Q38" s="1">
        <v>2.65</v>
      </c>
    </row>
    <row r="39" spans="6:17">
      <c r="F39" s="1" t="s">
        <v>36</v>
      </c>
    </row>
    <row r="40" spans="6:17">
      <c r="F40" s="1" t="s">
        <v>33</v>
      </c>
      <c r="G40" s="1">
        <v>1</v>
      </c>
      <c r="H40" s="1">
        <v>10</v>
      </c>
      <c r="I40" s="1">
        <v>100</v>
      </c>
      <c r="J40" s="1">
        <v>1000</v>
      </c>
      <c r="K40" s="1">
        <v>10000</v>
      </c>
      <c r="Q40" s="1">
        <v>1.05</v>
      </c>
    </row>
    <row r="41" spans="6:17">
      <c r="F41" s="1" t="s">
        <v>34</v>
      </c>
      <c r="G41" s="1">
        <v>34</v>
      </c>
      <c r="H41" s="1">
        <v>22.6</v>
      </c>
      <c r="I41" s="1">
        <v>15.5</v>
      </c>
      <c r="J41" s="1">
        <v>10.5</v>
      </c>
      <c r="K41" s="1">
        <v>6.9</v>
      </c>
    </row>
    <row r="42" spans="6:17">
      <c r="F42" s="1" t="s">
        <v>37</v>
      </c>
    </row>
    <row r="43" spans="6:17">
      <c r="F43" s="1" t="s">
        <v>33</v>
      </c>
      <c r="G43" s="1">
        <v>1</v>
      </c>
      <c r="H43" s="1">
        <v>10</v>
      </c>
      <c r="I43" s="1">
        <v>100</v>
      </c>
      <c r="J43" s="1">
        <v>1000</v>
      </c>
      <c r="K43" s="1">
        <v>10000</v>
      </c>
    </row>
    <row r="44" spans="6:17">
      <c r="F44" s="1" t="s">
        <v>34</v>
      </c>
      <c r="G44" s="1">
        <v>40</v>
      </c>
      <c r="H44" s="1">
        <v>26</v>
      </c>
      <c r="I44" s="1">
        <v>18</v>
      </c>
      <c r="J44" s="1">
        <v>12</v>
      </c>
      <c r="K44" s="1">
        <v>8.4</v>
      </c>
    </row>
    <row r="45" spans="6:17">
      <c r="F45" s="1" t="s">
        <v>38</v>
      </c>
    </row>
    <row r="46" spans="6:17">
      <c r="F46" s="1" t="s">
        <v>33</v>
      </c>
      <c r="G46" s="1">
        <v>1</v>
      </c>
      <c r="H46" s="1">
        <v>10</v>
      </c>
      <c r="I46" s="1">
        <v>100</v>
      </c>
      <c r="J46" s="1">
        <v>1000</v>
      </c>
      <c r="K46" s="1">
        <v>10000</v>
      </c>
    </row>
    <row r="47" spans="6:17">
      <c r="F47" s="1" t="s">
        <v>34</v>
      </c>
      <c r="G47" s="1">
        <v>44.5</v>
      </c>
      <c r="H47" s="1">
        <v>32.5</v>
      </c>
      <c r="I47" s="1">
        <v>24</v>
      </c>
      <c r="J47" s="1">
        <v>17.5</v>
      </c>
      <c r="K47" s="1">
        <v>13.4</v>
      </c>
    </row>
    <row r="48" spans="6:17">
      <c r="F48" s="1" t="s">
        <v>39</v>
      </c>
    </row>
    <row r="49" spans="6:11">
      <c r="F49" s="1" t="s">
        <v>33</v>
      </c>
      <c r="G49" s="1">
        <v>1</v>
      </c>
      <c r="H49" s="1">
        <v>10</v>
      </c>
      <c r="I49" s="1">
        <v>100</v>
      </c>
      <c r="J49" s="1">
        <v>1000</v>
      </c>
      <c r="K49" s="1">
        <v>10000</v>
      </c>
    </row>
    <row r="50" spans="6:11">
      <c r="F50" s="1" t="s">
        <v>34</v>
      </c>
      <c r="G50" s="1">
        <v>48</v>
      </c>
      <c r="H50" s="1">
        <v>36.799999999999997</v>
      </c>
      <c r="I50" s="1">
        <v>28.3</v>
      </c>
      <c r="J50" s="1">
        <v>21.7</v>
      </c>
      <c r="K50" s="1">
        <v>16.600000000000001</v>
      </c>
    </row>
    <row r="52" spans="6:11">
      <c r="F52" s="63" t="s">
        <v>40</v>
      </c>
      <c r="G52" s="63"/>
      <c r="H52" s="63"/>
      <c r="I52" s="63"/>
      <c r="J52" s="63"/>
      <c r="K52" s="63"/>
    </row>
    <row r="53" spans="6:11">
      <c r="F53" s="1" t="s">
        <v>41</v>
      </c>
    </row>
    <row r="54" spans="6:11">
      <c r="F54" s="1" t="s">
        <v>42</v>
      </c>
      <c r="G54" s="1">
        <v>1</v>
      </c>
      <c r="H54" s="1">
        <v>10</v>
      </c>
      <c r="I54" s="1">
        <v>100</v>
      </c>
      <c r="J54" s="1">
        <v>1000</v>
      </c>
      <c r="K54" s="1">
        <v>10000</v>
      </c>
    </row>
    <row r="55" spans="6:11">
      <c r="F55" s="1" t="s">
        <v>43</v>
      </c>
      <c r="G55" s="1">
        <v>43</v>
      </c>
      <c r="H55" s="1">
        <v>22</v>
      </c>
      <c r="I55" s="1">
        <v>11.7</v>
      </c>
      <c r="J55" s="1">
        <v>6.2</v>
      </c>
      <c r="K55" s="1">
        <v>3.3</v>
      </c>
    </row>
    <row r="56" spans="6:11">
      <c r="F56" s="1" t="s">
        <v>44</v>
      </c>
    </row>
    <row r="57" spans="6:11">
      <c r="F57" s="1" t="s">
        <v>42</v>
      </c>
      <c r="G57" s="1">
        <v>1</v>
      </c>
      <c r="H57" s="1">
        <v>10</v>
      </c>
      <c r="I57" s="1">
        <v>100</v>
      </c>
      <c r="J57" s="1">
        <v>1000</v>
      </c>
      <c r="K57" s="1">
        <v>10000</v>
      </c>
    </row>
    <row r="58" spans="6:11">
      <c r="F58" s="1" t="s">
        <v>43</v>
      </c>
      <c r="G58" s="1">
        <v>57</v>
      </c>
      <c r="H58" s="1">
        <v>31.7</v>
      </c>
      <c r="I58" s="1">
        <v>18.5</v>
      </c>
      <c r="J58" s="1">
        <v>10.9</v>
      </c>
      <c r="K58" s="1">
        <v>6.2</v>
      </c>
    </row>
    <row r="59" spans="6:11">
      <c r="F59" s="1" t="s">
        <v>45</v>
      </c>
    </row>
    <row r="60" spans="6:11">
      <c r="F60" s="1" t="s">
        <v>42</v>
      </c>
      <c r="G60" s="1">
        <v>1</v>
      </c>
      <c r="H60" s="1">
        <v>10</v>
      </c>
      <c r="I60" s="1">
        <v>100</v>
      </c>
      <c r="J60" s="1">
        <v>1000</v>
      </c>
      <c r="K60" s="1">
        <v>10000</v>
      </c>
    </row>
    <row r="61" spans="6:11">
      <c r="F61" s="1" t="s">
        <v>43</v>
      </c>
      <c r="G61" s="1">
        <v>71</v>
      </c>
      <c r="H61" s="1">
        <v>43</v>
      </c>
      <c r="I61" s="1">
        <v>26.5</v>
      </c>
      <c r="J61" s="1">
        <v>16.3</v>
      </c>
      <c r="K61" s="1">
        <v>10</v>
      </c>
    </row>
    <row r="62" spans="6:11">
      <c r="F62" s="1" t="s">
        <v>46</v>
      </c>
    </row>
    <row r="63" spans="6:11">
      <c r="F63" s="1" t="s">
        <v>42</v>
      </c>
      <c r="G63" s="1">
        <v>1</v>
      </c>
      <c r="H63" s="1">
        <v>10</v>
      </c>
      <c r="I63" s="1">
        <v>100</v>
      </c>
      <c r="J63" s="1">
        <v>1000</v>
      </c>
      <c r="K63" s="1">
        <v>10000</v>
      </c>
    </row>
    <row r="64" spans="6:11">
      <c r="F64" s="1" t="s">
        <v>43</v>
      </c>
      <c r="G64" s="1">
        <v>74</v>
      </c>
      <c r="H64" s="1">
        <v>48</v>
      </c>
      <c r="I64" s="1">
        <v>31.5</v>
      </c>
      <c r="J64" s="1">
        <v>21.3</v>
      </c>
      <c r="K64" s="1">
        <v>14</v>
      </c>
    </row>
    <row r="65" spans="6:11">
      <c r="F65" s="1" t="s">
        <v>47</v>
      </c>
    </row>
    <row r="66" spans="6:11">
      <c r="F66" s="1" t="s">
        <v>42</v>
      </c>
      <c r="G66" s="1">
        <v>1</v>
      </c>
      <c r="H66" s="1">
        <v>10</v>
      </c>
      <c r="I66" s="1">
        <v>100</v>
      </c>
      <c r="J66" s="1">
        <v>1000</v>
      </c>
      <c r="K66" s="1">
        <v>10000</v>
      </c>
    </row>
    <row r="67" spans="6:11">
      <c r="F67" s="1" t="s">
        <v>43</v>
      </c>
      <c r="G67" s="1">
        <v>81.2</v>
      </c>
      <c r="H67" s="1">
        <v>58.3</v>
      </c>
      <c r="I67" s="1">
        <v>41.5</v>
      </c>
      <c r="J67" s="1">
        <v>29.3</v>
      </c>
      <c r="K67" s="1">
        <v>21.3</v>
      </c>
    </row>
    <row r="68" spans="6:11">
      <c r="F68" s="1" t="s">
        <v>48</v>
      </c>
    </row>
    <row r="69" spans="6:11">
      <c r="F69" s="1" t="s">
        <v>42</v>
      </c>
      <c r="G69" s="1">
        <v>1</v>
      </c>
      <c r="H69" s="1">
        <v>10</v>
      </c>
      <c r="I69" s="1">
        <v>100</v>
      </c>
      <c r="J69" s="1">
        <v>1000</v>
      </c>
      <c r="K69" s="1">
        <v>10000</v>
      </c>
    </row>
    <row r="70" spans="6:11">
      <c r="F70" s="1" t="s">
        <v>43</v>
      </c>
      <c r="G70" s="1">
        <v>85</v>
      </c>
      <c r="H70" s="1">
        <v>64.5</v>
      </c>
      <c r="I70" s="1">
        <v>49</v>
      </c>
      <c r="J70" s="1">
        <v>37.799999999999997</v>
      </c>
      <c r="K70" s="1">
        <v>28.7</v>
      </c>
    </row>
    <row r="72" spans="6:11">
      <c r="F72" s="63" t="s">
        <v>49</v>
      </c>
      <c r="G72" s="63"/>
      <c r="H72" s="63"/>
      <c r="I72" s="63"/>
      <c r="J72" s="63"/>
      <c r="K72" s="63"/>
    </row>
    <row r="73" spans="6:11">
      <c r="F73" s="1" t="s">
        <v>44</v>
      </c>
    </row>
    <row r="74" spans="6:11">
      <c r="F74" s="1" t="s">
        <v>42</v>
      </c>
      <c r="G74" s="1">
        <v>1</v>
      </c>
      <c r="H74" s="1">
        <v>10</v>
      </c>
      <c r="I74" s="1">
        <v>100</v>
      </c>
      <c r="J74" s="1">
        <v>1000</v>
      </c>
      <c r="K74" s="1">
        <v>10000</v>
      </c>
    </row>
    <row r="75" spans="6:11">
      <c r="F75" s="1" t="s">
        <v>43</v>
      </c>
      <c r="G75" s="1">
        <v>18</v>
      </c>
      <c r="H75" s="1">
        <v>9.3000000000000007</v>
      </c>
      <c r="I75" s="1">
        <v>4.8</v>
      </c>
      <c r="J75" s="1">
        <v>2.4</v>
      </c>
      <c r="K75" s="1">
        <v>1.25</v>
      </c>
    </row>
    <row r="76" spans="6:11">
      <c r="F76" s="1" t="s">
        <v>45</v>
      </c>
    </row>
    <row r="77" spans="6:11">
      <c r="F77" s="1" t="s">
        <v>42</v>
      </c>
      <c r="G77" s="1">
        <v>1</v>
      </c>
      <c r="H77" s="1">
        <v>10</v>
      </c>
      <c r="I77" s="1">
        <v>100</v>
      </c>
      <c r="J77" s="1">
        <v>1000</v>
      </c>
      <c r="K77" s="1">
        <v>10000</v>
      </c>
    </row>
    <row r="78" spans="6:11">
      <c r="F78" s="1" t="s">
        <v>43</v>
      </c>
      <c r="G78" s="1">
        <v>24.6</v>
      </c>
      <c r="H78" s="1">
        <v>12.6</v>
      </c>
      <c r="I78" s="1">
        <v>6.6</v>
      </c>
      <c r="J78" s="1">
        <v>3.4</v>
      </c>
      <c r="K78" s="1">
        <v>1.75</v>
      </c>
    </row>
    <row r="79" spans="6:11">
      <c r="F79" s="1" t="s">
        <v>46</v>
      </c>
    </row>
    <row r="80" spans="6:11">
      <c r="F80" s="1" t="s">
        <v>42</v>
      </c>
      <c r="G80" s="1">
        <v>1</v>
      </c>
      <c r="H80" s="1">
        <v>10</v>
      </c>
      <c r="I80" s="1">
        <v>100</v>
      </c>
      <c r="J80" s="1">
        <v>1000</v>
      </c>
      <c r="K80" s="1">
        <v>10000</v>
      </c>
    </row>
    <row r="81" spans="6:11">
      <c r="F81" s="1" t="s">
        <v>43</v>
      </c>
      <c r="G81" s="1">
        <v>33.1</v>
      </c>
      <c r="H81" s="1">
        <v>17.399999999999999</v>
      </c>
      <c r="I81" s="1">
        <v>9.1</v>
      </c>
      <c r="J81" s="1">
        <v>4.7</v>
      </c>
      <c r="K81" s="1">
        <v>2.4300000000000002</v>
      </c>
    </row>
    <row r="82" spans="6:11">
      <c r="F82" s="1" t="s">
        <v>47</v>
      </c>
    </row>
    <row r="83" spans="6:11">
      <c r="F83" s="1" t="s">
        <v>42</v>
      </c>
      <c r="G83" s="1">
        <v>1</v>
      </c>
      <c r="H83" s="1">
        <v>10</v>
      </c>
      <c r="I83" s="1">
        <v>100</v>
      </c>
      <c r="J83" s="1">
        <v>1000</v>
      </c>
      <c r="K83" s="1">
        <v>10000</v>
      </c>
    </row>
    <row r="84" spans="6:11">
      <c r="F84" s="1" t="s">
        <v>43</v>
      </c>
      <c r="G84" s="1">
        <v>55</v>
      </c>
      <c r="H84" s="1">
        <v>27.5</v>
      </c>
      <c r="I84" s="1">
        <v>13.5</v>
      </c>
      <c r="J84" s="1">
        <v>6.8</v>
      </c>
      <c r="K84" s="1">
        <v>3.4</v>
      </c>
    </row>
    <row r="86" spans="6:11">
      <c r="F86" s="63" t="s">
        <v>50</v>
      </c>
      <c r="G86" s="63"/>
      <c r="H86" s="63"/>
      <c r="I86" s="63"/>
      <c r="J86" s="63"/>
      <c r="K86" s="63"/>
    </row>
    <row r="87" spans="6:11">
      <c r="F87" s="1" t="s">
        <v>44</v>
      </c>
    </row>
    <row r="88" spans="6:11">
      <c r="F88" s="1" t="s">
        <v>42</v>
      </c>
      <c r="G88" s="1">
        <v>1</v>
      </c>
      <c r="H88" s="1">
        <v>10</v>
      </c>
      <c r="I88" s="1">
        <v>100</v>
      </c>
      <c r="J88" s="1">
        <v>1000</v>
      </c>
      <c r="K88" s="1">
        <v>10000</v>
      </c>
    </row>
    <row r="89" spans="6:11">
      <c r="F89" s="1" t="s">
        <v>43</v>
      </c>
      <c r="G89" s="1">
        <v>28.9</v>
      </c>
      <c r="H89" s="1">
        <v>13.3</v>
      </c>
      <c r="I89" s="1">
        <v>5.8</v>
      </c>
      <c r="J89" s="1">
        <v>2.65</v>
      </c>
      <c r="K89" s="1">
        <v>1.2</v>
      </c>
    </row>
    <row r="90" spans="6:11">
      <c r="F90" s="1" t="s">
        <v>45</v>
      </c>
    </row>
    <row r="91" spans="6:11">
      <c r="F91" s="1" t="s">
        <v>42</v>
      </c>
      <c r="G91" s="1">
        <v>1</v>
      </c>
      <c r="H91" s="1">
        <v>10</v>
      </c>
      <c r="I91" s="1">
        <v>100</v>
      </c>
      <c r="J91" s="1">
        <v>1000</v>
      </c>
      <c r="K91" s="1">
        <v>10000</v>
      </c>
    </row>
    <row r="92" spans="6:11">
      <c r="F92" s="1" t="s">
        <v>43</v>
      </c>
      <c r="G92" s="1">
        <v>38.6</v>
      </c>
      <c r="H92" s="1">
        <v>18.7</v>
      </c>
      <c r="I92" s="1">
        <v>9</v>
      </c>
      <c r="J92" s="1">
        <v>4.3499999999999996</v>
      </c>
      <c r="K92" s="1">
        <v>2.12</v>
      </c>
    </row>
    <row r="93" spans="6:11">
      <c r="F93" s="1" t="s">
        <v>46</v>
      </c>
    </row>
    <row r="94" spans="6:11">
      <c r="F94" s="1" t="s">
        <v>42</v>
      </c>
      <c r="G94" s="1">
        <v>1</v>
      </c>
      <c r="H94" s="1">
        <v>10</v>
      </c>
      <c r="I94" s="1">
        <v>100</v>
      </c>
      <c r="J94" s="1">
        <v>1000</v>
      </c>
      <c r="K94" s="1">
        <v>10000</v>
      </c>
    </row>
    <row r="95" spans="6:11">
      <c r="F95" s="1" t="s">
        <v>43</v>
      </c>
      <c r="G95" s="1">
        <v>53</v>
      </c>
      <c r="H95" s="1">
        <v>26.2</v>
      </c>
      <c r="I95" s="1">
        <v>12.8</v>
      </c>
      <c r="J95" s="1">
        <v>6.3</v>
      </c>
      <c r="K95" s="1">
        <v>3</v>
      </c>
    </row>
    <row r="96" spans="6:11">
      <c r="F96" s="1" t="s">
        <v>47</v>
      </c>
    </row>
    <row r="97" spans="6:12">
      <c r="F97" s="1" t="s">
        <v>42</v>
      </c>
      <c r="G97" s="1">
        <v>1</v>
      </c>
      <c r="H97" s="1">
        <v>10</v>
      </c>
      <c r="I97" s="1">
        <v>100</v>
      </c>
      <c r="J97" s="1">
        <v>1000</v>
      </c>
      <c r="K97" s="1">
        <v>10000</v>
      </c>
    </row>
    <row r="98" spans="6:12">
      <c r="F98" s="1" t="s">
        <v>43</v>
      </c>
      <c r="G98" s="1">
        <v>85.5</v>
      </c>
      <c r="H98" s="1">
        <v>42</v>
      </c>
      <c r="I98" s="1">
        <v>20.399999999999999</v>
      </c>
      <c r="J98" s="1">
        <v>9.9</v>
      </c>
      <c r="K98" s="1">
        <v>4.8</v>
      </c>
    </row>
    <row r="100" spans="6:12">
      <c r="F100" s="63" t="s">
        <v>51</v>
      </c>
      <c r="G100" s="63"/>
      <c r="H100" s="63"/>
      <c r="I100" s="63"/>
      <c r="J100" s="63"/>
      <c r="K100" s="63"/>
      <c r="L100" s="63"/>
    </row>
    <row r="101" spans="6:12">
      <c r="F101" s="1" t="s">
        <v>44</v>
      </c>
    </row>
    <row r="102" spans="6:12">
      <c r="F102" s="1" t="s">
        <v>42</v>
      </c>
      <c r="G102" s="1">
        <v>0.1</v>
      </c>
      <c r="H102" s="1">
        <v>1</v>
      </c>
      <c r="I102" s="1">
        <v>10</v>
      </c>
      <c r="J102" s="1">
        <v>100</v>
      </c>
      <c r="K102" s="1">
        <v>1000</v>
      </c>
      <c r="L102" s="1">
        <v>10000</v>
      </c>
    </row>
    <row r="103" spans="6:12">
      <c r="F103" s="1" t="s">
        <v>43</v>
      </c>
      <c r="G103" s="1">
        <v>6.7</v>
      </c>
      <c r="H103" s="1">
        <v>4.2</v>
      </c>
      <c r="I103" s="1">
        <v>2.65</v>
      </c>
      <c r="J103" s="1">
        <v>1.7</v>
      </c>
      <c r="K103" s="1">
        <v>1.05</v>
      </c>
      <c r="L103" s="1">
        <v>0.66</v>
      </c>
    </row>
    <row r="104" spans="6:12">
      <c r="F104" s="1" t="s">
        <v>45</v>
      </c>
    </row>
    <row r="105" spans="6:12">
      <c r="F105" s="1" t="s">
        <v>42</v>
      </c>
      <c r="G105" s="1">
        <v>0.1</v>
      </c>
      <c r="H105" s="1">
        <v>1</v>
      </c>
      <c r="I105" s="1">
        <v>10</v>
      </c>
      <c r="J105" s="1">
        <v>100</v>
      </c>
      <c r="K105" s="1">
        <v>1000</v>
      </c>
      <c r="L105" s="1">
        <v>10000</v>
      </c>
    </row>
    <row r="106" spans="6:12">
      <c r="F106" s="1" t="s">
        <v>43</v>
      </c>
      <c r="G106" s="1">
        <v>14.5</v>
      </c>
      <c r="H106" s="1">
        <v>8.4</v>
      </c>
      <c r="I106" s="1">
        <v>5</v>
      </c>
      <c r="J106" s="1">
        <v>2.9</v>
      </c>
      <c r="K106" s="1">
        <v>1.7</v>
      </c>
      <c r="L106" s="1">
        <v>0.95</v>
      </c>
    </row>
    <row r="107" spans="6:12">
      <c r="F107" s="1" t="s">
        <v>46</v>
      </c>
    </row>
    <row r="108" spans="6:12">
      <c r="F108" s="1" t="s">
        <v>42</v>
      </c>
      <c r="G108" s="1">
        <v>0.1</v>
      </c>
      <c r="H108" s="1">
        <v>1</v>
      </c>
      <c r="I108" s="1">
        <v>10</v>
      </c>
      <c r="J108" s="1">
        <v>100</v>
      </c>
      <c r="K108" s="1">
        <v>1000</v>
      </c>
      <c r="L108" s="1">
        <v>10000</v>
      </c>
    </row>
    <row r="109" spans="6:12">
      <c r="F109" s="1" t="s">
        <v>43</v>
      </c>
      <c r="G109" s="1">
        <v>25</v>
      </c>
      <c r="H109" s="1">
        <v>13.3</v>
      </c>
      <c r="I109" s="1">
        <v>7</v>
      </c>
      <c r="J109" s="1">
        <v>3.7</v>
      </c>
      <c r="K109" s="1">
        <v>2</v>
      </c>
      <c r="L109" s="1">
        <v>1.03</v>
      </c>
    </row>
    <row r="110" spans="6:12">
      <c r="F110" s="1" t="s">
        <v>47</v>
      </c>
    </row>
    <row r="111" spans="6:12">
      <c r="F111" s="1" t="s">
        <v>42</v>
      </c>
      <c r="G111" s="1">
        <v>0.1</v>
      </c>
      <c r="H111" s="1">
        <v>1</v>
      </c>
      <c r="I111" s="1">
        <v>10</v>
      </c>
      <c r="J111" s="1">
        <v>100</v>
      </c>
      <c r="K111" s="1">
        <v>1000</v>
      </c>
      <c r="L111" s="1">
        <v>10000</v>
      </c>
    </row>
    <row r="112" spans="6:12">
      <c r="F112" s="1" t="s">
        <v>43</v>
      </c>
      <c r="G112" s="1">
        <v>26.3</v>
      </c>
      <c r="H112" s="1">
        <v>15.7</v>
      </c>
      <c r="I112" s="1">
        <v>9.6</v>
      </c>
      <c r="J112" s="1">
        <v>5.7</v>
      </c>
      <c r="K112" s="1">
        <v>3.4</v>
      </c>
      <c r="L112" s="1">
        <v>2.0499999999999998</v>
      </c>
    </row>
    <row r="117" spans="17:26" ht="17.5">
      <c r="Q117" s="1" t="s">
        <v>52</v>
      </c>
      <c r="S117" s="1" t="s">
        <v>53</v>
      </c>
      <c r="U117" s="64" t="s">
        <v>54</v>
      </c>
      <c r="V117" s="64" t="s">
        <v>55</v>
      </c>
      <c r="W117" s="64" t="s">
        <v>56</v>
      </c>
      <c r="X117" s="64" t="s">
        <v>57</v>
      </c>
      <c r="Y117" s="64" t="s">
        <v>58</v>
      </c>
      <c r="Z117" s="64" t="s">
        <v>59</v>
      </c>
    </row>
    <row r="118" spans="17:26">
      <c r="Q118" s="1" t="s">
        <v>60</v>
      </c>
      <c r="R118" s="65">
        <v>1</v>
      </c>
      <c r="S118" s="1" t="s">
        <v>61</v>
      </c>
      <c r="T118" s="66" t="s">
        <v>62</v>
      </c>
      <c r="U118" s="1">
        <v>-3.0048449999999999E-11</v>
      </c>
      <c r="V118" s="1">
        <v>2.2554120000000001E-7</v>
      </c>
      <c r="W118" s="1">
        <v>-6.7399029999999996E-4</v>
      </c>
      <c r="X118" s="1">
        <v>1.0023409999999999</v>
      </c>
      <c r="Y118" s="1">
        <v>-742.49400000000003</v>
      </c>
      <c r="Z118" s="1">
        <v>219352.3</v>
      </c>
    </row>
    <row r="119" spans="17:26">
      <c r="Q119" s="1" t="s">
        <v>63</v>
      </c>
      <c r="R119" s="65">
        <v>2</v>
      </c>
      <c r="S119" s="1" t="s">
        <v>64</v>
      </c>
      <c r="T119" s="66" t="s">
        <v>62</v>
      </c>
      <c r="U119" s="1">
        <v>2.7623930000000001E-11</v>
      </c>
      <c r="V119" s="1">
        <v>-2.1290910000000001E-7</v>
      </c>
      <c r="W119" s="1">
        <v>6.5475310000000003E-4</v>
      </c>
      <c r="X119" s="1">
        <v>-1.0043789999999999</v>
      </c>
      <c r="Y119" s="1">
        <v>767.77139999999997</v>
      </c>
      <c r="Z119" s="1">
        <v>-233817.3</v>
      </c>
    </row>
    <row r="120" spans="17:26">
      <c r="S120" s="1" t="s">
        <v>65</v>
      </c>
      <c r="T120" s="66" t="s">
        <v>62</v>
      </c>
      <c r="U120" s="1">
        <v>4.5076340000000001E-11</v>
      </c>
      <c r="V120" s="1">
        <v>-3.420564E-7</v>
      </c>
      <c r="W120" s="1">
        <v>1.0354889999999999E-3</v>
      </c>
      <c r="X120" s="1">
        <v>-1.563124</v>
      </c>
      <c r="Y120" s="1">
        <v>1176.145</v>
      </c>
      <c r="Z120" s="1">
        <v>-352987.5</v>
      </c>
    </row>
    <row r="121" spans="17:26">
      <c r="S121" s="1" t="s">
        <v>66</v>
      </c>
      <c r="T121" s="66" t="s">
        <v>62</v>
      </c>
      <c r="U121" s="1">
        <v>1.2105989999999999E-11</v>
      </c>
      <c r="V121" s="1">
        <v>-8.9001169999999999E-8</v>
      </c>
      <c r="W121" s="1">
        <v>2.60411E-4</v>
      </c>
      <c r="X121" s="1">
        <v>-0.37921110000000002</v>
      </c>
      <c r="Y121" s="1">
        <v>274.51499999999999</v>
      </c>
      <c r="Z121" s="1">
        <v>-79158.710000000006</v>
      </c>
    </row>
    <row r="122" spans="17:26">
      <c r="S122" s="1" t="s">
        <v>27</v>
      </c>
      <c r="T122" s="66" t="s">
        <v>62</v>
      </c>
      <c r="U122" s="1">
        <v>1.6977629999999999E-10</v>
      </c>
      <c r="V122" s="1">
        <v>-1.3189819999999999E-6</v>
      </c>
      <c r="W122" s="1">
        <v>4.0795509999999998E-3</v>
      </c>
      <c r="X122" s="1">
        <v>-6.2795209999999999</v>
      </c>
      <c r="Y122" s="1">
        <v>4810.1419999999998</v>
      </c>
      <c r="Z122" s="1">
        <v>-1466926</v>
      </c>
    </row>
    <row r="123" spans="17:26">
      <c r="S123" s="1" t="s">
        <v>26</v>
      </c>
      <c r="T123" s="66" t="s">
        <v>62</v>
      </c>
      <c r="U123" s="1">
        <v>-3.1118160000000002E-11</v>
      </c>
      <c r="V123" s="1">
        <v>2.2887480000000001E-7</v>
      </c>
      <c r="W123" s="1">
        <v>-6.7041430000000003E-4</v>
      </c>
      <c r="X123" s="1">
        <v>0.97729029999999995</v>
      </c>
      <c r="Y123" s="1">
        <v>-709.4058</v>
      </c>
      <c r="Z123" s="1">
        <v>205194.8</v>
      </c>
    </row>
    <row r="124" spans="17:26">
      <c r="S124" s="1" t="s">
        <v>67</v>
      </c>
      <c r="T124" s="66" t="s">
        <v>62</v>
      </c>
      <c r="U124" s="1">
        <v>0</v>
      </c>
      <c r="V124" s="1">
        <v>0</v>
      </c>
      <c r="W124" s="1">
        <v>4.5824280000000003E-6</v>
      </c>
      <c r="X124" s="1">
        <v>-2.175908E-2</v>
      </c>
      <c r="Y124" s="1">
        <v>34.052329999999998</v>
      </c>
      <c r="Z124" s="1">
        <v>-18011.13</v>
      </c>
    </row>
    <row r="125" spans="17:26">
      <c r="S125" s="1" t="s">
        <v>68</v>
      </c>
      <c r="T125" s="66" t="s">
        <v>62</v>
      </c>
      <c r="U125" s="1">
        <v>0</v>
      </c>
      <c r="V125" s="1">
        <v>0</v>
      </c>
      <c r="W125" s="1">
        <v>-6.2276929999999997E-6</v>
      </c>
      <c r="X125" s="1">
        <v>2.7095310000000001E-2</v>
      </c>
      <c r="Y125" s="1">
        <v>-39.55556</v>
      </c>
      <c r="Z125" s="1">
        <v>18921.05</v>
      </c>
    </row>
    <row r="126" spans="17:26">
      <c r="S126" s="1" t="s">
        <v>30</v>
      </c>
      <c r="T126" s="66" t="s">
        <v>62</v>
      </c>
      <c r="U126" s="1">
        <v>0</v>
      </c>
      <c r="V126" s="1">
        <v>0</v>
      </c>
      <c r="W126" s="1">
        <v>-2.3702989999999999E-5</v>
      </c>
      <c r="X126" s="1">
        <v>0.1117253</v>
      </c>
      <c r="Y126" s="1">
        <v>-174.9494</v>
      </c>
      <c r="Z126" s="1">
        <v>90634.68</v>
      </c>
    </row>
    <row r="127" spans="17:26">
      <c r="T127" s="66"/>
    </row>
    <row r="128" spans="17:26" ht="17.5">
      <c r="U128" s="64" t="s">
        <v>54</v>
      </c>
      <c r="V128" s="64" t="s">
        <v>55</v>
      </c>
      <c r="W128" s="64" t="s">
        <v>56</v>
      </c>
      <c r="X128" s="64" t="s">
        <v>57</v>
      </c>
      <c r="Y128" s="64" t="s">
        <v>58</v>
      </c>
      <c r="Z128" s="64" t="s">
        <v>59</v>
      </c>
    </row>
    <row r="129" spans="19:26">
      <c r="S129" s="1" t="s">
        <v>61</v>
      </c>
      <c r="T129" s="66" t="s">
        <v>69</v>
      </c>
      <c r="U129" s="1">
        <v>1.9006810000000001E-10</v>
      </c>
      <c r="V129" s="1">
        <v>-1.4361760000000001E-6</v>
      </c>
      <c r="W129" s="1">
        <v>4.3236619999999998E-3</v>
      </c>
      <c r="X129" s="1">
        <v>-6.4809520000000003</v>
      </c>
      <c r="Y129" s="1">
        <v>4836.1000000000004</v>
      </c>
      <c r="Z129" s="1">
        <v>-1434373</v>
      </c>
    </row>
    <row r="130" spans="19:26">
      <c r="S130" s="1" t="s">
        <v>64</v>
      </c>
      <c r="T130" s="66" t="s">
        <v>69</v>
      </c>
      <c r="U130" s="1">
        <v>6.6265630000000005E-11</v>
      </c>
      <c r="V130" s="1">
        <v>-5.0006020000000003E-7</v>
      </c>
      <c r="W130" s="1">
        <v>1.505653E-3</v>
      </c>
      <c r="X130" s="1">
        <v>-2.2621389999999999</v>
      </c>
      <c r="Y130" s="1">
        <v>1697.076</v>
      </c>
      <c r="Z130" s="1">
        <v>-506558.1</v>
      </c>
    </row>
    <row r="131" spans="19:26">
      <c r="S131" s="1" t="s">
        <v>65</v>
      </c>
      <c r="T131" s="66" t="s">
        <v>69</v>
      </c>
      <c r="U131" s="1">
        <v>-2.854233E-11</v>
      </c>
      <c r="V131" s="1">
        <v>2.2329729999999999E-7</v>
      </c>
      <c r="W131" s="1">
        <v>-6.9651670000000002E-4</v>
      </c>
      <c r="X131" s="1">
        <v>1.081183</v>
      </c>
      <c r="Y131" s="1">
        <v>-834.78650000000005</v>
      </c>
      <c r="Z131" s="1">
        <v>258665.60000000001</v>
      </c>
    </row>
    <row r="132" spans="19:26">
      <c r="S132" s="1" t="s">
        <v>66</v>
      </c>
      <c r="T132" s="66" t="s">
        <v>69</v>
      </c>
      <c r="U132" s="1">
        <v>3.5855650000000002E-11</v>
      </c>
      <c r="V132" s="1">
        <v>-2.7456539999999999E-7</v>
      </c>
      <c r="W132" s="1">
        <v>8.3813140000000002E-4</v>
      </c>
      <c r="X132" s="1">
        <v>-1.276251</v>
      </c>
      <c r="Y132" s="1">
        <v>969.91150000000005</v>
      </c>
      <c r="Z132" s="1">
        <v>-291844.3</v>
      </c>
    </row>
    <row r="133" spans="19:26">
      <c r="S133" s="1" t="s">
        <v>27</v>
      </c>
      <c r="T133" s="66" t="s">
        <v>69</v>
      </c>
      <c r="U133" s="1">
        <v>4.061288E-10</v>
      </c>
      <c r="V133" s="1">
        <v>-3.0329070000000002E-6</v>
      </c>
      <c r="W133" s="1">
        <v>9.0293270000000002E-3</v>
      </c>
      <c r="X133" s="1">
        <v>-13.398</v>
      </c>
      <c r="Y133" s="1">
        <v>9911.02</v>
      </c>
      <c r="Z133" s="1">
        <v>-2922593</v>
      </c>
    </row>
    <row r="134" spans="19:26">
      <c r="S134" s="1" t="s">
        <v>26</v>
      </c>
      <c r="T134" s="66" t="s">
        <v>69</v>
      </c>
      <c r="U134" s="1">
        <v>4.4196900000000002E-10</v>
      </c>
      <c r="V134" s="1">
        <v>-3.3652649999999999E-6</v>
      </c>
      <c r="W134" s="1">
        <v>1.020825E-2</v>
      </c>
      <c r="X134" s="1">
        <v>-15.42235</v>
      </c>
      <c r="Y134" s="1">
        <v>11606.88</v>
      </c>
      <c r="Z134" s="1">
        <v>-3479632</v>
      </c>
    </row>
    <row r="135" spans="19:26">
      <c r="S135" s="1" t="s">
        <v>67</v>
      </c>
      <c r="T135" s="66" t="s">
        <v>69</v>
      </c>
      <c r="U135" s="1">
        <v>0</v>
      </c>
      <c r="V135" s="1">
        <v>0</v>
      </c>
      <c r="W135" s="1">
        <v>-1.9195380000000001E-5</v>
      </c>
      <c r="X135" s="1">
        <v>8.9280929999999994E-2</v>
      </c>
      <c r="Y135" s="1">
        <v>-138.89570000000001</v>
      </c>
      <c r="Z135" s="1">
        <v>74470</v>
      </c>
    </row>
    <row r="136" spans="19:26">
      <c r="S136" s="1" t="s">
        <v>68</v>
      </c>
      <c r="T136" s="66" t="s">
        <v>69</v>
      </c>
      <c r="U136" s="1">
        <v>0</v>
      </c>
      <c r="V136" s="1">
        <v>0</v>
      </c>
      <c r="W136" s="1">
        <v>-9.6880090000000007E-6</v>
      </c>
      <c r="X136" s="1">
        <v>4.583599E-2</v>
      </c>
      <c r="Y136" s="1">
        <v>-72.67801</v>
      </c>
      <c r="Z136" s="1">
        <v>41111.589999999997</v>
      </c>
    </row>
    <row r="137" spans="19:26">
      <c r="S137" s="1" t="s">
        <v>30</v>
      </c>
      <c r="T137" s="66" t="s">
        <v>69</v>
      </c>
      <c r="U137" s="1">
        <v>0</v>
      </c>
      <c r="V137" s="1">
        <v>0</v>
      </c>
      <c r="W137" s="1">
        <v>-3.6932920000000001E-6</v>
      </c>
      <c r="X137" s="1">
        <v>6.3105740000000002E-3</v>
      </c>
      <c r="Y137" s="1">
        <v>4.5647039999999999</v>
      </c>
      <c r="Z137" s="1">
        <v>-6958.3140000000003</v>
      </c>
    </row>
  </sheetData>
  <protectedRanges>
    <protectedRange algorithmName="SHA-512" hashValue="5Bw8a2Vq193U73UvyXT+PRXzt3FX8BgPqu3dNZT3Mmodz9zd9zVfbp1Hw3MhVumPvgyk80e7Kifa9VjVCvVyYw==" saltValue="Iym48ceeqnfkt/nlK68WPQ==" spinCount="100000" sqref="Q9:Q27" name="輸入鉑金使用條件"/>
    <protectedRange algorithmName="SHA-512" hashValue="0J96DR8p8fLOStyWVYYIiyZHSYzYJ2X3p3v88LlbK6LgC17uK116iNm5UKc7hD7j97uiqcWtH8GLvMvmRHncHQ==" saltValue="VlR1XYGs6HO4mMhS9ZUlWg==" spinCount="100000" sqref="D10:D27" name="使用鉑金材料"/>
    <protectedRange sqref="B10" name="項目名稱"/>
    <protectedRange sqref="C10:C27" name="設備名稱"/>
    <protectedRange algorithmName="SHA-512" hashValue="yRGlxr8XzJ21llfYtvDSwOQqPDnSjpP8ayFxNpqsjwFHmC8pqlGi6RxH4/NlTJWqlHOGvmkHjhfKpZHFixX1Ow==" saltValue="f+Vuc7nnAJ+Ajuwt5lNwAg==" spinCount="100000" sqref="L10:L27" name="使用溫度"/>
  </protectedRanges>
  <mergeCells count="97">
    <mergeCell ref="F32:K32"/>
    <mergeCell ref="F52:K52"/>
    <mergeCell ref="F72:K72"/>
    <mergeCell ref="F86:K86"/>
    <mergeCell ref="F100:L100"/>
    <mergeCell ref="O26:O27"/>
    <mergeCell ref="P26:P27"/>
    <mergeCell ref="Q26:Q27"/>
    <mergeCell ref="R26:R27"/>
    <mergeCell ref="S26:S27"/>
    <mergeCell ref="T26:T27"/>
    <mergeCell ref="P24:P25"/>
    <mergeCell ref="Q24:Q25"/>
    <mergeCell ref="R24:R25"/>
    <mergeCell ref="S24:S25"/>
    <mergeCell ref="T24:T25"/>
    <mergeCell ref="C26:C27"/>
    <mergeCell ref="D26:D27"/>
    <mergeCell ref="L26:L27"/>
    <mergeCell ref="M26:M27"/>
    <mergeCell ref="N26:N27"/>
    <mergeCell ref="Q22:Q23"/>
    <mergeCell ref="R22:R23"/>
    <mergeCell ref="S22:S23"/>
    <mergeCell ref="T22:T23"/>
    <mergeCell ref="C24:C25"/>
    <mergeCell ref="D24:D25"/>
    <mergeCell ref="L24:L25"/>
    <mergeCell ref="M24:M25"/>
    <mergeCell ref="N24:N25"/>
    <mergeCell ref="O24:O25"/>
    <mergeCell ref="R20:R21"/>
    <mergeCell ref="S20:S21"/>
    <mergeCell ref="T20:T21"/>
    <mergeCell ref="C22:C23"/>
    <mergeCell ref="D22:D23"/>
    <mergeCell ref="L22:L23"/>
    <mergeCell ref="M22:M23"/>
    <mergeCell ref="N22:N23"/>
    <mergeCell ref="O22:O23"/>
    <mergeCell ref="P22:P23"/>
    <mergeCell ref="S18:S19"/>
    <mergeCell ref="T18:T19"/>
    <mergeCell ref="C20:C21"/>
    <mergeCell ref="D20:D21"/>
    <mergeCell ref="L20:L21"/>
    <mergeCell ref="M20:M21"/>
    <mergeCell ref="N20:N21"/>
    <mergeCell ref="O20:O21"/>
    <mergeCell ref="P20:P21"/>
    <mergeCell ref="Q20:Q21"/>
    <mergeCell ref="R16:R17"/>
    <mergeCell ref="C18:C19"/>
    <mergeCell ref="D18:D19"/>
    <mergeCell ref="L18:L19"/>
    <mergeCell ref="M18:M19"/>
    <mergeCell ref="N18:N19"/>
    <mergeCell ref="O18:O19"/>
    <mergeCell ref="P18:P19"/>
    <mergeCell ref="Q18:Q19"/>
    <mergeCell ref="R18:R19"/>
    <mergeCell ref="Q14:Q15"/>
    <mergeCell ref="R14:R15"/>
    <mergeCell ref="C16:C17"/>
    <mergeCell ref="D16:D17"/>
    <mergeCell ref="L16:L17"/>
    <mergeCell ref="M16:M17"/>
    <mergeCell ref="N16:N17"/>
    <mergeCell ref="O16:O17"/>
    <mergeCell ref="P16:P17"/>
    <mergeCell ref="Q16:Q17"/>
    <mergeCell ref="P12:P13"/>
    <mergeCell ref="Q12:Q13"/>
    <mergeCell ref="R12:R13"/>
    <mergeCell ref="C14:C15"/>
    <mergeCell ref="D14:D15"/>
    <mergeCell ref="L14:L15"/>
    <mergeCell ref="M14:M15"/>
    <mergeCell ref="N14:N15"/>
    <mergeCell ref="O14:O15"/>
    <mergeCell ref="P14:P15"/>
    <mergeCell ref="O10:O11"/>
    <mergeCell ref="P10:P11"/>
    <mergeCell ref="Q10:Q11"/>
    <mergeCell ref="R10:R11"/>
    <mergeCell ref="C12:C13"/>
    <mergeCell ref="D12:D13"/>
    <mergeCell ref="L12:L13"/>
    <mergeCell ref="M12:M13"/>
    <mergeCell ref="N12:N13"/>
    <mergeCell ref="O12:O13"/>
    <mergeCell ref="B10:B27"/>
    <mergeCell ref="C10:C11"/>
    <mergeCell ref="D10:D11"/>
    <mergeCell ref="L10:L11"/>
    <mergeCell ref="M10:M11"/>
    <mergeCell ref="N10:N11"/>
  </mergeCells>
  <phoneticPr fontId="2" type="noConversion"/>
  <conditionalFormatting sqref="L10:L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:L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sqref="Q9" xr:uid="{E544A3AD-0DCD-4F23-A3D1-203E4199FC65}">
      <formula1>$Q$118:$Q$119</formula1>
    </dataValidation>
    <dataValidation type="list" allowBlank="1" showInputMessage="1" showErrorMessage="1" sqref="D10:D27" xr:uid="{23F7E8F4-FD97-4D79-919E-8C2F2DF0E84C}">
      <formula1>$S$118:$S$126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1</xdr:col>
                <xdr:colOff>19050</xdr:colOff>
                <xdr:row>1</xdr:row>
                <xdr:rowOff>203200</xdr:rowOff>
              </from>
              <to>
                <xdr:col>5</xdr:col>
                <xdr:colOff>355600</xdr:colOff>
                <xdr:row>6</xdr:row>
                <xdr:rowOff>165100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鉑金材料蠕變應力壽命估算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Lu</dc:creator>
  <cp:lastModifiedBy>Steven Lu</cp:lastModifiedBy>
  <dcterms:created xsi:type="dcterms:W3CDTF">2026-08-08T05:54:51Z</dcterms:created>
  <dcterms:modified xsi:type="dcterms:W3CDTF">2026-08-08T05:56:41Z</dcterms:modified>
</cp:coreProperties>
</file>